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AB AL SAFA\Downloads\"/>
    </mc:Choice>
  </mc:AlternateContent>
  <bookViews>
    <workbookView xWindow="0" yWindow="0" windowWidth="19200" windowHeight="6930" tabRatio="681"/>
  </bookViews>
  <sheets>
    <sheet name="Start" sheetId="1" r:id="rId1"/>
    <sheet name="GenerateAccessToken" sheetId="15" r:id="rId2"/>
    <sheet name="AccessToken" sheetId="14" r:id="rId3"/>
    <sheet name="RefreshToken" sheetId="16" r:id="rId4"/>
    <sheet name="LogTime" sheetId="7" r:id="rId5"/>
    <sheet name="logTimeDetails" sheetId="6" r:id="rId6"/>
    <sheet name="AddTimeLogs" sheetId="5" r:id="rId7"/>
    <sheet name="AddTimelogDaily" sheetId="8" r:id="rId8"/>
    <sheet name="AddTimelogWeekly" sheetId="9" r:id="rId9"/>
    <sheet name="AddTimelogMonthly" sheetId="10" r:id="rId10"/>
    <sheet name="JobsNames" sheetId="12" r:id="rId11"/>
    <sheet name="Clients" sheetId="3" r:id="rId12"/>
    <sheet name="Jobs" sheetId="11" r:id="rId13"/>
    <sheet name="Projects" sheetId="4" r:id="rId14"/>
    <sheet name="Report Log Time" sheetId="18" r:id="rId15"/>
    <sheet name="AppConfig" sheetId="2" r:id="rId16"/>
    <sheet name="ProjectUsers" sheetId="19" r:id="rId17"/>
    <sheet name="Project" sheetId="20" r:id="rId18"/>
    <sheet name="ProjectManagers" sheetId="21" r:id="rId19"/>
    <sheet name="ProjectHeads" sheetId="22" r:id="rId20"/>
    <sheet name="ProjectDept" sheetId="23" r:id="rId21"/>
    <sheet name="job" sheetId="24" r:id="rId22"/>
    <sheet name="JobDetail" sheetId="25" r:id="rId23"/>
    <sheet name="Client" sheetId="26" r:id="rId24"/>
    <sheet name="Assignees" sheetId="27" r:id="rId25"/>
    <sheet name="Report Log For DB" sheetId="29" r:id="rId26"/>
    <sheet name="About" sheetId="30" r:id="rId27"/>
  </sheets>
  <functionGroups builtInGroupCount="18"/>
  <externalReferences>
    <externalReference r:id="rId28"/>
  </externalReferences>
  <definedNames>
    <definedName name="NIK_SQLEXPRESS_master_Assignees" localSheetId="24" hidden="1">Assignees!$A$1:$H$11</definedName>
    <definedName name="NIK_SQLEXPRESS_master_Clients" localSheetId="23" hidden="1">Client!$A$1:$T$6</definedName>
    <definedName name="NIK_SQLEXPRESS_master_JobDetails" localSheetId="22" hidden="1">JobDetail!$A$1:$T$11</definedName>
    <definedName name="NIK_SQLEXPRESS_master_Jobs" localSheetId="21" hidden="1">job!$A$1:$U$11</definedName>
    <definedName name="NIK_SQLEXPRESS_master_ProjectDepartments" localSheetId="20" hidden="1">ProjectDept!$A$1:$D$2</definedName>
    <definedName name="NIK_SQLEXPRESS_master_ProjectHeads" localSheetId="19" hidden="1">ProjectHeads!$A$1:$E$11</definedName>
    <definedName name="NIK_SQLEXPRESS_master_ProjectManagers" localSheetId="18" hidden="1">ProjectManagers!$A$1:$F$2</definedName>
    <definedName name="NIK_SQLEXPRESS_master_Projects" localSheetId="17" hidden="1">Project!$A$1:$L$11</definedName>
    <definedName name="NIK_SQLEXPRESS_master_ProjectUsers" localSheetId="16" hidden="1">ProjectUsers!$A$1:$F$2</definedName>
  </definedNames>
  <calcPr calcId="162913"/>
  <pivotCaches>
    <pivotCache cacheId="0" r:id="rId29"/>
    <pivotCache cacheId="1" r:id="rId30"/>
    <pivotCache cacheId="2" r:id="rId31"/>
    <pivotCache cacheId="3" r:id="rId32"/>
    <pivotCache cacheId="4" r:id="rId33"/>
    <pivotCache cacheId="5" r:id="rId34"/>
    <pivotCache cacheId="6" r:id="rId35"/>
    <pivotCache cacheId="7" r:id="rId36"/>
    <pivotCache cacheId="8" r:id="rId37"/>
    <pivotCache cacheId="9" r:id="rId38"/>
    <pivotCache cacheId="10" r:id="rId39"/>
    <pivotCache cacheId="11" r:id="rId40"/>
    <pivotCache cacheId="12" r:id="rId41"/>
    <pivotCache cacheId="13" r:id="rId42"/>
    <pivotCache cacheId="14" r:id="rId4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0" l="1"/>
  <c r="Y9" i="9" l="1"/>
  <c r="Y7" i="9"/>
  <c r="Y5" i="9"/>
  <c r="Y3" i="9"/>
  <c r="J12" i="8"/>
</calcChain>
</file>

<file path=xl/connections.xml><?xml version="1.0" encoding="utf-8"?>
<connections xmlns="http://schemas.openxmlformats.org/spreadsheetml/2006/main">
  <connection id="1" odcFile="C:\Users\BAB AL SAFA\OneDrive\Documents\My Data Sources\NIK_SQLEXPRESS master Assignees.odc" keepAlive="1" name="NIK_SQLEXPRESS master Assignees" type="5" refreshedVersion="6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Assignees&quot;" commandType="3"/>
  </connection>
  <connection id="2" odcFile="C:\Users\BAB AL SAFA\OneDrive\Documents\My Data Sources\NIK_SQLEXPRESS master Assignees.odc" keepAlive="1" name="NIK_SQLEXPRESS master Assignees1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Assignees&quot;" commandType="3"/>
  </connection>
  <connection id="3" odcFile="C:\Users\BAB AL SAFA\OneDrive\Documents\My Data Sources\NIK_SQLEXPRESS master Clients.odc" keepAlive="1" name="NIK_SQLEXPRESS master Client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Clients&quot;" commandType="3"/>
  </connection>
  <connection id="4" odcFile="C:\Users\BAB AL SAFA\OneDrive\Documents\My Data Sources\NIK_SQLEXPRESS master JobDetails.odc" keepAlive="1" name="NIK_SQLEXPRESS master JobDetail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JobDetails&quot;" commandType="3"/>
  </connection>
  <connection id="5" odcFile="C:\Users\BAB AL SAFA\OneDrive\Documents\My Data Sources\NIK_SQLEXPRESS master Jobs.odc" keepAlive="1" name="NIK_SQLEXPRESS master Job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Jobs&quot;" commandType="3"/>
  </connection>
  <connection id="6" odcFile="C:\Users\BAB AL SAFA\OneDrive\Documents\My Data Sources\NIK_SQLEXPRESS master ProjectDepartments.odc" keepAlive="1" name="NIK_SQLEXPRESS master ProjectDepartment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ProjectDepartments&quot;" commandType="3"/>
  </connection>
  <connection id="7" odcFile="C:\Users\BAB AL SAFA\OneDrive\Documents\My Data Sources\NIK_SQLEXPRESS master ProjectHeads.odc" keepAlive="1" name="NIK_SQLEXPRESS master ProjectHead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ProjectHeads&quot;" commandType="3"/>
  </connection>
  <connection id="8" odcFile="C:\Users\BAB AL SAFA\OneDrive\Documents\My Data Sources\NIK_SQLEXPRESS master ProjectManagers.odc" keepAlive="1" name="NIK_SQLEXPRESS master ProjectManager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ProjectManagers&quot;" commandType="3"/>
  </connection>
  <connection id="9" odcFile="C:\Users\BAB AL SAFA\OneDrive\Documents\My Data Sources\NIK_SQLEXPRESS master Projects.odc" keepAlive="1" name="NIK_SQLEXPRESS master Project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Projects&quot;" commandType="3"/>
  </connection>
  <connection id="10" odcFile="C:\Users\BAB AL SAFA\OneDrive\Documents\My Data Sources\NIK_SQLEXPRESS master ProjectUsers.odc" keepAlive="1" name="NIK_SQLEXPRESS master ProjectUsers" type="5" refreshedVersion="6" background="1" saveData="1">
    <dbPr connection="Provider=SQLOLEDB.1;Integrated Security=SSPI;Persist Security Info=True;Initial Catalog=master;Data Source=NIK\SQLEXPRESS;Use Procedure for Prepare=1;Auto Translate=True;Packet Size=4096;Workstation ID=NIK;Use Encryption for Data=False;Tag with column collation when possible=False" command="&quot;master&quot;.&quot;dbo&quot;.&quot;ProjectUsers&quot;" commandType="3"/>
  </connection>
</connections>
</file>

<file path=xl/sharedStrings.xml><?xml version="1.0" encoding="utf-8"?>
<sst xmlns="http://schemas.openxmlformats.org/spreadsheetml/2006/main" count="1928" uniqueCount="452">
  <si>
    <t xml:space="preserve">Application </t>
  </si>
  <si>
    <t xml:space="preserve">Version </t>
  </si>
  <si>
    <t>Developed By</t>
  </si>
  <si>
    <t>Target Environment</t>
  </si>
  <si>
    <t>Published On</t>
  </si>
  <si>
    <t>https://people.zoho.in</t>
  </si>
  <si>
    <t>Zoho Master Management</t>
  </si>
  <si>
    <t>Welcome, You are logged in as</t>
  </si>
  <si>
    <t>sughosh.kuntal@external.weiss-world.com</t>
  </si>
  <si>
    <t>App - Zoho Master Data Management</t>
  </si>
  <si>
    <t>Client Name</t>
  </si>
  <si>
    <t>Project Id</t>
  </si>
  <si>
    <t>Status</t>
  </si>
  <si>
    <t>Last Sync</t>
  </si>
  <si>
    <t>In-Progress</t>
  </si>
  <si>
    <t>user</t>
  </si>
  <si>
    <t>workDate</t>
  </si>
  <si>
    <t>hours</t>
  </si>
  <si>
    <t>Add Time Log</t>
  </si>
  <si>
    <t>Testing</t>
  </si>
  <si>
    <t>2024-04-12</t>
  </si>
  <si>
    <t>Client Id</t>
  </si>
  <si>
    <t>Email Id</t>
  </si>
  <si>
    <t>First Name</t>
  </si>
  <si>
    <t>bari's cafe</t>
  </si>
  <si>
    <t>nikbari09@gmail.com</t>
  </si>
  <si>
    <t>utins</t>
  </si>
  <si>
    <t>dental</t>
  </si>
  <si>
    <t>Time log ID</t>
  </si>
  <si>
    <t>Employee name</t>
  </si>
  <si>
    <t>Job Name</t>
  </si>
  <si>
    <t>Project Name</t>
  </si>
  <si>
    <t>intern.nikhil09</t>
  </si>
  <si>
    <t>Requirement Gathering</t>
  </si>
  <si>
    <t>Cafe management and  online food ordering</t>
  </si>
  <si>
    <t>Hours</t>
  </si>
  <si>
    <t>Designing</t>
  </si>
  <si>
    <t>Coding</t>
  </si>
  <si>
    <t>156802000000262001</t>
  </si>
  <si>
    <t>Sr.No</t>
  </si>
  <si>
    <t>User</t>
  </si>
  <si>
    <t>Billable Status</t>
  </si>
  <si>
    <t>Total hours:</t>
  </si>
  <si>
    <t>job Name</t>
  </si>
  <si>
    <t>Daily log</t>
  </si>
  <si>
    <t>&lt;Today&gt;</t>
  </si>
  <si>
    <t xml:space="preserve">Billable </t>
  </si>
  <si>
    <t>Billable</t>
  </si>
  <si>
    <t>User Name</t>
  </si>
  <si>
    <t>Total</t>
  </si>
  <si>
    <t>Weekly Log</t>
  </si>
  <si>
    <t xml:space="preserve"> </t>
  </si>
  <si>
    <t>Total Hours:</t>
  </si>
  <si>
    <t>Sr.No.</t>
  </si>
  <si>
    <t>Monthly Log</t>
  </si>
  <si>
    <t>to</t>
  </si>
  <si>
    <t>Job ID</t>
  </si>
  <si>
    <t>Job name</t>
  </si>
  <si>
    <t>Project ID</t>
  </si>
  <si>
    <t>thinking</t>
  </si>
  <si>
    <t>freelance</t>
  </si>
  <si>
    <t>Client Secret</t>
  </si>
  <si>
    <t>Code</t>
  </si>
  <si>
    <t>Access Token</t>
  </si>
  <si>
    <t>Refresh Token</t>
  </si>
  <si>
    <t>API Domain</t>
  </si>
  <si>
    <t>Token Type</t>
  </si>
  <si>
    <t>Expires In</t>
  </si>
  <si>
    <t>1000.6ZC9IUMB7R64HRC67WCKQ5UAP2IQRS</t>
  </si>
  <si>
    <t>Generate Token</t>
  </si>
  <si>
    <t>e8a15c305625992b3c3fdc5fd03783c18a20e56b11</t>
  </si>
  <si>
    <t>https://www.zohoapis.in</t>
  </si>
  <si>
    <t>Bearer</t>
  </si>
  <si>
    <t>1000.2d7064cd9d5b6d0fd49f29b9b9e31476.170b2584c8341100ca2e5211c53fafa5</t>
  </si>
  <si>
    <t>1000.9471f22cdc7215b0c47ad73d9b9a48a0.c2ce1e8e8a178e2fb0778110f6048137</t>
  </si>
  <si>
    <t>1000.4fcf65c4c6cfea44193b1422ec10fac4.b58ae8006ccb91e6cc83c9d663431c57</t>
  </si>
  <si>
    <t>Date</t>
  </si>
  <si>
    <t>156802000000258048</t>
  </si>
  <si>
    <t>156802000000258056</t>
  </si>
  <si>
    <t>156802000000270001</t>
  </si>
  <si>
    <t>156802000000264019</t>
  </si>
  <si>
    <t>156802000000264015</t>
  </si>
  <si>
    <t>156802000000264011</t>
  </si>
  <si>
    <t>156802000000265055</t>
  </si>
  <si>
    <t>156802000000265051</t>
  </si>
  <si>
    <t>156802000000265047</t>
  </si>
  <si>
    <t>156802000000265043</t>
  </si>
  <si>
    <t>156802000000265039</t>
  </si>
  <si>
    <t>156802000000265035</t>
  </si>
  <si>
    <t>156802000000265031</t>
  </si>
  <si>
    <t>156802000000265027</t>
  </si>
  <si>
    <t>156802000000265023</t>
  </si>
  <si>
    <t>156802000000265019</t>
  </si>
  <si>
    <t>156802000000265015</t>
  </si>
  <si>
    <t>156802000000265001</t>
  </si>
  <si>
    <t>156802000000270017</t>
  </si>
  <si>
    <t>156802000000270013</t>
  </si>
  <si>
    <t>156802000000270009</t>
  </si>
  <si>
    <t>156802000000270005</t>
  </si>
  <si>
    <t>156802000000269013</t>
  </si>
  <si>
    <t>156802000000269009</t>
  </si>
  <si>
    <t>156802000000269005</t>
  </si>
  <si>
    <t>156802000000269001</t>
  </si>
  <si>
    <t>02:00</t>
  </si>
  <si>
    <t>09:00</t>
  </si>
  <si>
    <t>08:00</t>
  </si>
  <si>
    <t>10:00</t>
  </si>
  <si>
    <t>05:00</t>
  </si>
  <si>
    <t>44:00</t>
  </si>
  <si>
    <t>33:00</t>
  </si>
  <si>
    <t>22:00</t>
  </si>
  <si>
    <t>11:00</t>
  </si>
  <si>
    <t>50:00</t>
  </si>
  <si>
    <t>20:00</t>
  </si>
  <si>
    <t>45:00</t>
  </si>
  <si>
    <t>35:00</t>
  </si>
  <si>
    <t>25:00</t>
  </si>
  <si>
    <t>15:00</t>
  </si>
  <si>
    <t>156802000000258012</t>
  </si>
  <si>
    <t>156802000000253866</t>
  </si>
  <si>
    <t>156802000000253952</t>
  </si>
  <si>
    <t>156802000000265005</t>
  </si>
  <si>
    <t>156802000000264001</t>
  </si>
  <si>
    <t/>
  </si>
  <si>
    <t>156802000000253892</t>
  </si>
  <si>
    <t>156802000000268013</t>
  </si>
  <si>
    <t>156802000000268003</t>
  </si>
  <si>
    <t>156802000000268037</t>
  </si>
  <si>
    <t>156802000000253858</t>
  </si>
  <si>
    <t>156802000000259003</t>
  </si>
  <si>
    <t>156802000000259007</t>
  </si>
  <si>
    <t>Token Details</t>
  </si>
  <si>
    <t>(blank)</t>
  </si>
  <si>
    <t>Count of Job Name</t>
  </si>
  <si>
    <t>Industry</t>
  </si>
  <si>
    <t>Nikhil</t>
  </si>
  <si>
    <t>Count of Client Id</t>
  </si>
  <si>
    <t>Job Count</t>
  </si>
  <si>
    <t>Count of Project</t>
  </si>
  <si>
    <t>Project status</t>
  </si>
  <si>
    <t>156802000000274013</t>
  </si>
  <si>
    <t>156802000000274009</t>
  </si>
  <si>
    <t>156802000000274005</t>
  </si>
  <si>
    <t>156802000000274001</t>
  </si>
  <si>
    <t>Count of Job name</t>
  </si>
  <si>
    <t>time</t>
  </si>
  <si>
    <t>Count of Hours</t>
  </si>
  <si>
    <t>Sum of time</t>
  </si>
  <si>
    <t>156802000000275029</t>
  </si>
  <si>
    <t>156802000000275025</t>
  </si>
  <si>
    <t>156802000000275021</t>
  </si>
  <si>
    <t>156802000000275017</t>
  </si>
  <si>
    <t>156802000000275013</t>
  </si>
  <si>
    <t>156802000000275009</t>
  </si>
  <si>
    <t>156802000000275005</t>
  </si>
  <si>
    <t>156802000000275001</t>
  </si>
  <si>
    <t>Start Date</t>
  </si>
  <si>
    <t>End Date</t>
  </si>
  <si>
    <t>Rate per Hour</t>
  </si>
  <si>
    <t>Employee emailId</t>
  </si>
  <si>
    <t>Employee firstname</t>
  </si>
  <si>
    <t>Employee lastname</t>
  </si>
  <si>
    <t>project ID</t>
  </si>
  <si>
    <t>Task name</t>
  </si>
  <si>
    <t>Description</t>
  </si>
  <si>
    <t>Job Active</t>
  </si>
  <si>
    <t>Client ID</t>
  </si>
  <si>
    <t>Billing Status</t>
  </si>
  <si>
    <t>Billed Status</t>
  </si>
  <si>
    <t>Approval Status</t>
  </si>
  <si>
    <t>intern.nikhil09@gmail.com</t>
  </si>
  <si>
    <t>billable</t>
  </si>
  <si>
    <t>not billed</t>
  </si>
  <si>
    <t>notsubmitted</t>
  </si>
  <si>
    <t>designing</t>
  </si>
  <si>
    <t>Job Completed (0/1)</t>
  </si>
  <si>
    <t>Job Billable Status</t>
  </si>
  <si>
    <t>Job Status</t>
  </si>
  <si>
    <t>Estimated Hours</t>
  </si>
  <si>
    <t>Total Hours</t>
  </si>
  <si>
    <t>Owner</t>
  </si>
  <si>
    <t>Assigned By</t>
  </si>
  <si>
    <t>Assignee Count</t>
  </si>
  <si>
    <t xml:space="preserve">intern.nikhil09 </t>
  </si>
  <si>
    <t>00:00</t>
  </si>
  <si>
    <t>156802000000251001</t>
  </si>
  <si>
    <t>Project Cost</t>
  </si>
  <si>
    <t>Owner ID</t>
  </si>
  <si>
    <t>Owner Name</t>
  </si>
  <si>
    <t>Project Head EmpId</t>
  </si>
  <si>
    <t>Project Head ErecNo</t>
  </si>
  <si>
    <t>Project Head Name</t>
  </si>
  <si>
    <t>Count of Job ID</t>
  </si>
  <si>
    <t>2024-04-25</t>
  </si>
  <si>
    <t>2024-04-28</t>
  </si>
  <si>
    <t>2024-04-29</t>
  </si>
  <si>
    <t>2024-04-30</t>
  </si>
  <si>
    <t>156802000000278029</t>
  </si>
  <si>
    <t>01:00</t>
  </si>
  <si>
    <t>156802000000278017</t>
  </si>
  <si>
    <t>156802000000278049</t>
  </si>
  <si>
    <t>156802000000278041</t>
  </si>
  <si>
    <t>156802000000278033</t>
  </si>
  <si>
    <t>156802000000278021</t>
  </si>
  <si>
    <t>156802000000278013</t>
  </si>
  <si>
    <t>156802000000278053</t>
  </si>
  <si>
    <t>156802000000278045</t>
  </si>
  <si>
    <t>156802000000278037</t>
  </si>
  <si>
    <t>156802000000278025</t>
  </si>
  <si>
    <t>156802000000278073</t>
  </si>
  <si>
    <t>156802000000278061</t>
  </si>
  <si>
    <t>156802000000278097</t>
  </si>
  <si>
    <t>156802000000278089</t>
  </si>
  <si>
    <t>156802000000278077</t>
  </si>
  <si>
    <t>156802000000278065</t>
  </si>
  <si>
    <t>156802000000278057</t>
  </si>
  <si>
    <t>156802000000278101</t>
  </si>
  <si>
    <t>156802000000278093</t>
  </si>
  <si>
    <t>156802000000278081</t>
  </si>
  <si>
    <t>156802000000278069</t>
  </si>
  <si>
    <t>156802000000278085</t>
  </si>
  <si>
    <t>12:00</t>
  </si>
  <si>
    <t>2024-04-21</t>
  </si>
  <si>
    <t>2024-04-22</t>
  </si>
  <si>
    <t>2024-04-23</t>
  </si>
  <si>
    <t>2024-04-24</t>
  </si>
  <si>
    <t>2024-04-26</t>
  </si>
  <si>
    <t>2024-04-27</t>
  </si>
  <si>
    <t>2024-04-01</t>
  </si>
  <si>
    <t>2024-04-02</t>
  </si>
  <si>
    <t>2024-04-03</t>
  </si>
  <si>
    <t>2024-04-04</t>
  </si>
  <si>
    <t>2024-04-05</t>
  </si>
  <si>
    <t>2024-04-06</t>
  </si>
  <si>
    <t>2024-04-07</t>
  </si>
  <si>
    <t>2024-04-08</t>
  </si>
  <si>
    <t>2024-04-09</t>
  </si>
  <si>
    <t>2024-04-10</t>
  </si>
  <si>
    <t>2024-04-11</t>
  </si>
  <si>
    <t>2024-04-13</t>
  </si>
  <si>
    <t>2024-04-14</t>
  </si>
  <si>
    <t>2024-04-15</t>
  </si>
  <si>
    <t>2024-04-16</t>
  </si>
  <si>
    <t>2024-04-17</t>
  </si>
  <si>
    <t>2024-04-18</t>
  </si>
  <si>
    <t>2024-04-19</t>
  </si>
  <si>
    <t>2024-04-20</t>
  </si>
  <si>
    <t>156802000000280021</t>
  </si>
  <si>
    <t>156802000000280009</t>
  </si>
  <si>
    <t>156802000000280041</t>
  </si>
  <si>
    <t>156802000000280033</t>
  </si>
  <si>
    <t>156802000000280025</t>
  </si>
  <si>
    <t>156802000000280013</t>
  </si>
  <si>
    <t>156802000000280001</t>
  </si>
  <si>
    <t>156802000000280045</t>
  </si>
  <si>
    <t>156802000000280037</t>
  </si>
  <si>
    <t>156802000000280029</t>
  </si>
  <si>
    <t>156802000000280017</t>
  </si>
  <si>
    <t>156802000000280005</t>
  </si>
  <si>
    <t>13:00</t>
  </si>
  <si>
    <t>Id</t>
  </si>
  <si>
    <t>JobId</t>
  </si>
  <si>
    <t>JobName</t>
  </si>
  <si>
    <t>JobStatus</t>
  </si>
  <si>
    <t>AssignedBy</t>
  </si>
  <si>
    <t>ClientId</t>
  </si>
  <si>
    <t>ClientName</t>
  </si>
  <si>
    <t>ToDate</t>
  </si>
  <si>
    <t>JobBillableStatus</t>
  </si>
  <si>
    <t>IsDeleteAllowed</t>
  </si>
  <si>
    <t>ProjectHead</t>
  </si>
  <si>
    <t>IsActive</t>
  </si>
  <si>
    <t>FromDate</t>
  </si>
  <si>
    <t>JobColor</t>
  </si>
  <si>
    <t>RatePerHour</t>
  </si>
  <si>
    <t>TotalHours</t>
  </si>
  <si>
    <t>ProjectName</t>
  </si>
  <si>
    <t>156803000000267087</t>
  </si>
  <si>
    <t>backend testing</t>
  </si>
  <si>
    <t>156803000000251001</t>
  </si>
  <si>
    <t>Moiz Solkar</t>
  </si>
  <si>
    <t>Unknown</t>
  </si>
  <si>
    <t>0001-01-01 00:00:00.0000000</t>
  </si>
  <si>
    <t>2024-04-21 00:00:00.0000000</t>
  </si>
  <si>
    <t>Logistics website</t>
  </si>
  <si>
    <t>156803000000253396</t>
  </si>
  <si>
    <t>156803000000267027</t>
  </si>
  <si>
    <t>Prince Housing</t>
  </si>
  <si>
    <t>2024-05-30 00:00:00.0000000</t>
  </si>
  <si>
    <t>Coding the main page for the website</t>
  </si>
  <si>
    <t>2024-04-08 00:00:00.0000000</t>
  </si>
  <si>
    <t>Crypt web</t>
  </si>
  <si>
    <t>156803000000269061</t>
  </si>
  <si>
    <t>156803000000253346</t>
  </si>
  <si>
    <t>Prince Technologies</t>
  </si>
  <si>
    <t>2024-04-30 00:00:00.0000000</t>
  </si>
  <si>
    <t>2024-04-24 00:00:00.0000000</t>
  </si>
  <si>
    <t>Ubisoft Website</t>
  </si>
  <si>
    <t>156803000000267285</t>
  </si>
  <si>
    <t>Data Analysis</t>
  </si>
  <si>
    <t>Data Analysis for Crypto Website</t>
  </si>
  <si>
    <t>2024-04-22 00:00:00.0000000</t>
  </si>
  <si>
    <t>NFiTii Project</t>
  </si>
  <si>
    <t>156803000000267245</t>
  </si>
  <si>
    <t>Data mining</t>
  </si>
  <si>
    <t>Data mining for the NFT project.</t>
  </si>
  <si>
    <t>Non-Billable</t>
  </si>
  <si>
    <t>156803000000253364</t>
  </si>
  <si>
    <t>Requirement Analysi</t>
  </si>
  <si>
    <t>04:00</t>
  </si>
  <si>
    <t>Requirement analysis for nft website</t>
  </si>
  <si>
    <t>156803000000267311</t>
  </si>
  <si>
    <t>Software testing</t>
  </si>
  <si>
    <t>156803000000267335</t>
  </si>
  <si>
    <t>software testing 12</t>
  </si>
  <si>
    <t>2024-04-23 00:00:00.0000000</t>
  </si>
  <si>
    <t>156803000000269021</t>
  </si>
  <si>
    <t>software testing 123</t>
  </si>
  <si>
    <t>2024-06-28 00:00:00.0000000</t>
  </si>
  <si>
    <t>Sofware Testing for the Ubisoft website</t>
  </si>
  <si>
    <t>156803000000253420</t>
  </si>
  <si>
    <t>Completed</t>
  </si>
  <si>
    <t>Testing the website of the nft project.</t>
  </si>
  <si>
    <t>EmpId</t>
  </si>
  <si>
    <t>Erecno</t>
  </si>
  <si>
    <t>Rate</t>
  </si>
  <si>
    <t>Name</t>
  </si>
  <si>
    <t>ProjectId</t>
  </si>
  <si>
    <t>ProjectCost</t>
  </si>
  <si>
    <t>ProjectStatus</t>
  </si>
  <si>
    <t>OwnerId</t>
  </si>
  <si>
    <t>OwnerName</t>
  </si>
  <si>
    <t>JobCount</t>
  </si>
  <si>
    <t>ProjectUsersCount</t>
  </si>
  <si>
    <t>HeadId</t>
  </si>
  <si>
    <t>156803000000253354</t>
  </si>
  <si>
    <t>156803000000262007</t>
  </si>
  <si>
    <t>156803000000262017</t>
  </si>
  <si>
    <t>Lamar Interiors</t>
  </si>
  <si>
    <t>156803000000262027</t>
  </si>
  <si>
    <t>156803000000262037</t>
  </si>
  <si>
    <t>Stock Market</t>
  </si>
  <si>
    <t>156803000000262049</t>
  </si>
  <si>
    <t>Stock exchange</t>
  </si>
  <si>
    <t>156803000000264017</t>
  </si>
  <si>
    <t>156803000000267037</t>
  </si>
  <si>
    <t>burj khalifa</t>
  </si>
  <si>
    <t>156803000000267223</t>
  </si>
  <si>
    <t>Fifa Website</t>
  </si>
  <si>
    <t>156803000000269001</t>
  </si>
  <si>
    <t>1</t>
  </si>
  <si>
    <t>DeptName</t>
  </si>
  <si>
    <t>DeptId</t>
  </si>
  <si>
    <t>LastName</t>
  </si>
  <si>
    <t>Country</t>
  </si>
  <si>
    <t>Pincode</t>
  </si>
  <si>
    <t>StreetAddr</t>
  </si>
  <si>
    <t>City</t>
  </si>
  <si>
    <t>BillingMethod</t>
  </si>
  <si>
    <t>EmailId</t>
  </si>
  <si>
    <t>MobileNo</t>
  </si>
  <si>
    <t>PhoneNo</t>
  </si>
  <si>
    <t>FirstName</t>
  </si>
  <si>
    <t>FaxNo</t>
  </si>
  <si>
    <t>CreatedBy</t>
  </si>
  <si>
    <t>Compsize</t>
  </si>
  <si>
    <t>ModifiedBy</t>
  </si>
  <si>
    <t>State</t>
  </si>
  <si>
    <t>CurrencyCode</t>
  </si>
  <si>
    <t>Al-Haddadd</t>
  </si>
  <si>
    <t>INDIA</t>
  </si>
  <si>
    <t>411048</t>
  </si>
  <si>
    <t>Kondhwa</t>
  </si>
  <si>
    <t>Pune</t>
  </si>
  <si>
    <t>hourly job rate</t>
  </si>
  <si>
    <t>Sofware Service Providers</t>
  </si>
  <si>
    <t>princesaleem126@gmail.com</t>
  </si>
  <si>
    <t>IT</t>
  </si>
  <si>
    <t>8392384893</t>
  </si>
  <si>
    <t>8668924566</t>
  </si>
  <si>
    <t>Salem</t>
  </si>
  <si>
    <t>0</t>
  </si>
  <si>
    <t>100</t>
  </si>
  <si>
    <t>Maharashtra</t>
  </si>
  <si>
    <t>INR</t>
  </si>
  <si>
    <t>156803000000267127</t>
  </si>
  <si>
    <t>alakdjf</t>
  </si>
  <si>
    <t>USD</t>
  </si>
  <si>
    <t>156803000000267235</t>
  </si>
  <si>
    <t>Z</t>
  </si>
  <si>
    <t>UNITED STATES</t>
  </si>
  <si>
    <t>493892</t>
  </si>
  <si>
    <t>Grove Street</t>
  </si>
  <si>
    <t>Jay Z Interiors</t>
  </si>
  <si>
    <t>Los Angeles</t>
  </si>
  <si>
    <t>jayz@gmail.com</t>
  </si>
  <si>
    <t>Architecture</t>
  </si>
  <si>
    <t>83282939292</t>
  </si>
  <si>
    <t>8273929482</t>
  </si>
  <si>
    <t>Jay</t>
  </si>
  <si>
    <t>500</t>
  </si>
  <si>
    <t>California</t>
  </si>
  <si>
    <t>EUR</t>
  </si>
  <si>
    <t>156803000000269013</t>
  </si>
  <si>
    <t>west</t>
  </si>
  <si>
    <t>839298</t>
  </si>
  <si>
    <t>kanye west Enterprise</t>
  </si>
  <si>
    <t>hourly user rate</t>
  </si>
  <si>
    <t>Hello a;;</t>
  </si>
  <si>
    <t>kanyewest@yahoo.com</t>
  </si>
  <si>
    <t>8392858928</t>
  </si>
  <si>
    <t>kanye</t>
  </si>
  <si>
    <t>1500</t>
  </si>
  <si>
    <t>AssigneeId</t>
  </si>
  <si>
    <t>Count of JobName</t>
  </si>
  <si>
    <t>Count of JobStatus</t>
  </si>
  <si>
    <t>Count of ProjectStatus</t>
  </si>
  <si>
    <t>Count of Clients</t>
  </si>
  <si>
    <t>Count of Assignee</t>
  </si>
  <si>
    <t>Add log Time Daily</t>
  </si>
  <si>
    <t>Add log Time weekly</t>
  </si>
  <si>
    <t>Add log Time Monthly</t>
  </si>
  <si>
    <t>Add log Time</t>
  </si>
  <si>
    <t>1000.debae23e6b705ec946cf6194b4accb17.2cea7c958cc1800b24c1c03b75f2747d</t>
  </si>
  <si>
    <t>You need to generate token first.</t>
  </si>
  <si>
    <t>Click Here, To generate token first to add the time log or get details….</t>
  </si>
  <si>
    <t>Steps:</t>
  </si>
  <si>
    <t xml:space="preserve">Step 1: </t>
  </si>
  <si>
    <t>Registering a Client.</t>
  </si>
  <si>
    <t>Click on the given link</t>
  </si>
  <si>
    <t>https://api-console.zoho.com/</t>
  </si>
  <si>
    <r>
      <t xml:space="preserve">Select </t>
    </r>
    <r>
      <rPr>
        <b/>
        <sz val="11"/>
        <color theme="1"/>
        <rFont val="Calibri"/>
        <family val="2"/>
        <scheme val="minor"/>
      </rPr>
      <t>Self Client</t>
    </r>
    <r>
      <rPr>
        <sz val="11"/>
        <color theme="1"/>
        <rFont val="Calibri"/>
        <family val="2"/>
        <scheme val="minor"/>
      </rPr>
      <t xml:space="preserve"> </t>
    </r>
  </si>
  <si>
    <t xml:space="preserve">Add details required </t>
  </si>
  <si>
    <r>
      <t xml:space="preserve">Goto </t>
    </r>
    <r>
      <rPr>
        <b/>
        <sz val="11"/>
        <color theme="1"/>
        <rFont val="Calibri"/>
        <family val="2"/>
        <scheme val="minor"/>
      </rPr>
      <t>Client Secret and add Client Id and Client Secret in the field mention earlier.</t>
    </r>
  </si>
  <si>
    <t xml:space="preserve">Step 2: </t>
  </si>
  <si>
    <t>Goto Generate Code and required fields.</t>
  </si>
  <si>
    <t>Scope : ZOHOPEOPLE.timetracker.ALL</t>
  </si>
  <si>
    <t>Time Duration will be as per required.</t>
  </si>
  <si>
    <t>Scope Description will be any.</t>
  </si>
  <si>
    <t>Click on the Create. And copy code from their and add this into code field.</t>
  </si>
  <si>
    <t xml:space="preserve">Step 3: </t>
  </si>
  <si>
    <t>Click the Generate token button.</t>
  </si>
  <si>
    <t xml:space="preserve">Step 4: </t>
  </si>
  <si>
    <t>Goto Start menu and Refresh token button to refresh the token</t>
  </si>
  <si>
    <t>Project Name :</t>
  </si>
  <si>
    <t>Zoho Master Data Management</t>
  </si>
  <si>
    <t>Version :</t>
  </si>
  <si>
    <t>Version 9.3</t>
  </si>
  <si>
    <t xml:space="preserve">Created By : </t>
  </si>
  <si>
    <t>Nikhil Bari</t>
  </si>
  <si>
    <t>Date :</t>
  </si>
  <si>
    <t>30-Apr-2024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</si>
</sst>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4C09]d\ mmmm\ yyyy;@"/>
    <numFmt numFmtId="165" formatCode="[$-14C09]d\ mmm\ 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8"/>
      <color rgb="FFFFFF00"/>
      <name val="Calibri"/>
      <family val="2"/>
      <scheme val="minor"/>
    </font>
    <font>
      <b/>
      <sz val="11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6"/>
      <color theme="1"/>
      <name val="Segoe UI"/>
      <family val="2"/>
    </font>
    <font>
      <sz val="11"/>
      <color theme="1"/>
      <name val="Segoe UI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1" xfId="0" applyFill="1" applyBorder="1" applyAlignment="1">
      <alignment horizontal="left" indent="1"/>
    </xf>
    <xf numFmtId="0" fontId="0" fillId="2" borderId="2" xfId="0" applyFill="1" applyBorder="1"/>
    <xf numFmtId="0" fontId="1" fillId="2" borderId="3" xfId="0" applyFont="1" applyFill="1" applyBorder="1" applyAlignment="1">
      <alignment horizontal="left" indent="1"/>
    </xf>
    <xf numFmtId="0" fontId="0" fillId="2" borderId="0" xfId="0" applyFill="1" applyAlignment="1">
      <alignment horizontal="left"/>
    </xf>
    <xf numFmtId="0" fontId="0" fillId="2" borderId="0" xfId="0" applyFill="1"/>
    <xf numFmtId="0" fontId="2" fillId="2" borderId="0" xfId="1" applyFill="1" applyBorder="1"/>
    <xf numFmtId="0" fontId="0" fillId="2" borderId="3" xfId="0" applyFill="1" applyBorder="1" applyAlignment="1">
      <alignment horizontal="left" indent="1"/>
    </xf>
    <xf numFmtId="0" fontId="2" fillId="2" borderId="0" xfId="1" applyFill="1"/>
    <xf numFmtId="17" fontId="0" fillId="2" borderId="0" xfId="0" applyNumberFormat="1" applyFill="1" applyAlignment="1">
      <alignment horizontal="left"/>
    </xf>
    <xf numFmtId="0" fontId="0" fillId="2" borderId="1" xfId="0" applyFill="1" applyBorder="1"/>
    <xf numFmtId="0" fontId="0" fillId="2" borderId="4" xfId="0" applyFill="1" applyBorder="1"/>
    <xf numFmtId="0" fontId="4" fillId="0" borderId="3" xfId="0" applyFont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3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0" xfId="0" applyFill="1" applyBorder="1"/>
    <xf numFmtId="49" fontId="0" fillId="2" borderId="9" xfId="0" applyNumberFormat="1" applyFill="1" applyBorder="1"/>
    <xf numFmtId="49" fontId="2" fillId="2" borderId="9" xfId="1" applyNumberFormat="1" applyFill="1" applyBorder="1"/>
    <xf numFmtId="0" fontId="6" fillId="2" borderId="0" xfId="0" applyFont="1" applyFill="1"/>
    <xf numFmtId="0" fontId="6" fillId="2" borderId="0" xfId="0" applyFont="1" applyFill="1" applyBorder="1"/>
    <xf numFmtId="0" fontId="0" fillId="2" borderId="11" xfId="0" applyFill="1" applyBorder="1"/>
    <xf numFmtId="49" fontId="0" fillId="2" borderId="11" xfId="0" applyNumberFormat="1" applyFill="1" applyBorder="1"/>
    <xf numFmtId="0" fontId="0" fillId="2" borderId="12" xfId="0" applyFill="1" applyBorder="1"/>
    <xf numFmtId="0" fontId="1" fillId="2" borderId="0" xfId="0" applyFont="1" applyFill="1"/>
    <xf numFmtId="49" fontId="1" fillId="2" borderId="0" xfId="0" applyNumberFormat="1" applyFont="1" applyFill="1"/>
    <xf numFmtId="164" fontId="1" fillId="2" borderId="0" xfId="0" applyNumberFormat="1" applyFont="1" applyFill="1"/>
    <xf numFmtId="0" fontId="0" fillId="2" borderId="13" xfId="0" applyFill="1" applyBorder="1"/>
    <xf numFmtId="49" fontId="1" fillId="2" borderId="13" xfId="0" applyNumberFormat="1" applyFont="1" applyFill="1" applyBorder="1"/>
    <xf numFmtId="49" fontId="1" fillId="2" borderId="15" xfId="0" applyNumberFormat="1" applyFont="1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4" xfId="0" applyFill="1" applyBorder="1"/>
    <xf numFmtId="14" fontId="1" fillId="2" borderId="14" xfId="0" applyNumberFormat="1" applyFont="1" applyFill="1" applyBorder="1"/>
    <xf numFmtId="165" fontId="1" fillId="2" borderId="0" xfId="0" applyNumberFormat="1" applyFont="1" applyFill="1"/>
    <xf numFmtId="14" fontId="0" fillId="2" borderId="0" xfId="0" applyNumberFormat="1" applyFill="1"/>
    <xf numFmtId="0" fontId="0" fillId="2" borderId="17" xfId="0" applyFill="1" applyBorder="1"/>
    <xf numFmtId="0" fontId="8" fillId="2" borderId="0" xfId="0" applyFont="1" applyFill="1"/>
    <xf numFmtId="0" fontId="9" fillId="2" borderId="17" xfId="0" applyFont="1" applyFill="1" applyBorder="1"/>
    <xf numFmtId="0" fontId="9" fillId="0" borderId="0" xfId="0" applyFont="1"/>
    <xf numFmtId="0" fontId="9" fillId="0" borderId="17" xfId="0" applyFont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0" fillId="2" borderId="14" xfId="0" applyFill="1" applyBorder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5" fillId="3" borderId="0" xfId="0" applyFont="1" applyFill="1" applyAlignment="1">
      <alignment horizontal="center" vertical="center"/>
    </xf>
    <xf numFmtId="0" fontId="10" fillId="2" borderId="0" xfId="0" applyFont="1" applyFill="1"/>
    <xf numFmtId="0" fontId="5" fillId="4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0" borderId="0" xfId="0" pivotButton="1"/>
    <xf numFmtId="0" fontId="0" fillId="2" borderId="0" xfId="0" applyNumberFormat="1" applyFill="1"/>
    <xf numFmtId="15" fontId="0" fillId="0" borderId="0" xfId="0" applyNumberFormat="1"/>
    <xf numFmtId="0" fontId="0" fillId="0" borderId="0" xfId="0" applyNumberFormat="1"/>
    <xf numFmtId="0" fontId="2" fillId="0" borderId="0" xfId="1" applyAlignment="1">
      <alignment horizontal="center"/>
    </xf>
    <xf numFmtId="14" fontId="0" fillId="0" borderId="0" xfId="0" applyNumberFormat="1" applyAlignment="1">
      <alignment horizontal="center"/>
    </xf>
    <xf numFmtId="15" fontId="0" fillId="2" borderId="0" xfId="0" applyNumberFormat="1" applyFill="1"/>
    <xf numFmtId="20" fontId="0" fillId="2" borderId="13" xfId="0" applyNumberFormat="1" applyFill="1" applyBorder="1"/>
    <xf numFmtId="20" fontId="0" fillId="2" borderId="0" xfId="0" applyNumberFormat="1" applyFill="1"/>
    <xf numFmtId="46" fontId="0" fillId="2" borderId="0" xfId="0" applyNumberFormat="1" applyFill="1"/>
    <xf numFmtId="46" fontId="0" fillId="2" borderId="13" xfId="0" applyNumberFormat="1" applyFill="1" applyBorder="1"/>
    <xf numFmtId="20" fontId="0" fillId="2" borderId="14" xfId="0" applyNumberFormat="1" applyFill="1" applyBorder="1"/>
    <xf numFmtId="0" fontId="0" fillId="2" borderId="18" xfId="0" applyFill="1" applyBorder="1"/>
    <xf numFmtId="0" fontId="0" fillId="2" borderId="17" xfId="0" applyFont="1" applyFill="1" applyBorder="1"/>
    <xf numFmtId="46" fontId="0" fillId="2" borderId="14" xfId="0" applyNumberFormat="1" applyFill="1" applyBorder="1"/>
    <xf numFmtId="20" fontId="0" fillId="2" borderId="11" xfId="0" applyNumberFormat="1" applyFill="1" applyBorder="1"/>
    <xf numFmtId="46" fontId="0" fillId="2" borderId="11" xfId="0" applyNumberFormat="1" applyFill="1" applyBorder="1"/>
    <xf numFmtId="0" fontId="0" fillId="0" borderId="0" xfId="0" applyAlignment="1">
      <alignment horizontal="left" indent="1"/>
    </xf>
    <xf numFmtId="0" fontId="0" fillId="7" borderId="0" xfId="0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7" fillId="7" borderId="0" xfId="1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0" fillId="7" borderId="0" xfId="0" applyFill="1"/>
    <xf numFmtId="49" fontId="0" fillId="7" borderId="11" xfId="0" applyNumberFormat="1" applyFill="1" applyBorder="1"/>
    <xf numFmtId="0" fontId="0" fillId="7" borderId="17" xfId="0" applyFill="1" applyBorder="1"/>
    <xf numFmtId="0" fontId="1" fillId="7" borderId="0" xfId="0" applyFont="1" applyFill="1"/>
  </cellXfs>
  <cellStyles count="2">
    <cellStyle name="Hyperlink" xfId="1" builtinId="8"/>
    <cellStyle name="Normal" xfId="0" builtinId="0"/>
  </cellStyles>
  <dxfs count="8"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1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6.xml"/><Relationship Id="rId42" Type="http://schemas.openxmlformats.org/officeDocument/2006/relationships/pivotCacheDefinition" Target="pivotCache/pivotCacheDefinition14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pivotCacheDefinition" Target="pivotCache/pivotCacheDefinition9.xml"/><Relationship Id="rId40" Type="http://schemas.openxmlformats.org/officeDocument/2006/relationships/pivotCacheDefinition" Target="pivotCache/pivotCacheDefinition12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pivotCacheDefinition" Target="pivotCache/pivotCacheDefinition8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pivotCacheDefinition" Target="pivotCache/pivotCacheDefinition7.xml"/><Relationship Id="rId43" Type="http://schemas.openxmlformats.org/officeDocument/2006/relationships/pivotCacheDefinition" Target="pivotCache/pivotCacheDefinition15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5.xml"/><Relationship Id="rId38" Type="http://schemas.openxmlformats.org/officeDocument/2006/relationships/pivotCacheDefinition" Target="pivotCache/pivotCacheDefinition10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Working Job</a:t>
            </a:r>
            <a:r>
              <a:rPr lang="en-US" baseline="0"/>
              <a:t> Count / Project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FFC000"/>
          </a:solidFill>
          <a:ln>
            <a:solidFill>
              <a:schemeClr val="bg1"/>
            </a:solidFill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/>
              </a:solidFill>
            </a:ln>
            <a:effectLst/>
          </c:spPr>
          <c:invertIfNegative val="0"/>
          <c:cat>
            <c:strRef>
              <c:f>'Report Log Time'!$A$4:$A$8</c:f>
              <c:strCache>
                <c:ptCount val="5"/>
                <c:pt idx="0">
                  <c:v>Coding</c:v>
                </c:pt>
                <c:pt idx="1">
                  <c:v>Designing</c:v>
                </c:pt>
                <c:pt idx="2">
                  <c:v>Requirement Gathering</c:v>
                </c:pt>
                <c:pt idx="3">
                  <c:v>Testing</c:v>
                </c:pt>
                <c:pt idx="4">
                  <c:v>thinking</c:v>
                </c:pt>
              </c:strCache>
            </c:strRef>
          </c:cat>
          <c:val>
            <c:numRef>
              <c:f>'Report Log Time'!$B$4:$B$8</c:f>
              <c:numCache>
                <c:formatCode>General</c:formatCode>
                <c:ptCount val="5"/>
                <c:pt idx="0">
                  <c:v>11</c:v>
                </c:pt>
                <c:pt idx="1">
                  <c:v>5</c:v>
                </c:pt>
                <c:pt idx="2">
                  <c:v>2</c:v>
                </c:pt>
                <c:pt idx="3">
                  <c:v>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38-456F-9D7A-67FD19ED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058384"/>
        <c:axId val="467055056"/>
      </c:barChart>
      <c:catAx>
        <c:axId val="467058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55056"/>
        <c:crosses val="autoZero"/>
        <c:auto val="1"/>
        <c:lblAlgn val="ctr"/>
        <c:lblOffset val="100"/>
        <c:noMultiLvlLbl val="0"/>
      </c:catAx>
      <c:valAx>
        <c:axId val="46705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58384"/>
        <c:crosses val="autoZero"/>
        <c:crossBetween val="between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Time!PivotTable24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Hours by Job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Time'!$C$25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'Report Log Time'!$A$26:$B$35</c:f>
              <c:multiLvlStrCache>
                <c:ptCount val="10"/>
                <c:lvl>
                  <c:pt idx="0">
                    <c:v>12-Apr-24</c:v>
                  </c:pt>
                  <c:pt idx="1">
                    <c:v>13-Apr-24</c:v>
                  </c:pt>
                  <c:pt idx="2">
                    <c:v>11-Apr-24</c:v>
                  </c:pt>
                  <c:pt idx="3">
                    <c:v>13-Apr-24</c:v>
                  </c:pt>
                  <c:pt idx="4">
                    <c:v>16-Apr-24</c:v>
                  </c:pt>
                  <c:pt idx="5">
                    <c:v>08-Apr-24</c:v>
                  </c:pt>
                  <c:pt idx="6">
                    <c:v>09-Apr-24</c:v>
                  </c:pt>
                  <c:pt idx="7">
                    <c:v>12-Apr-24</c:v>
                  </c:pt>
                  <c:pt idx="8">
                    <c:v>13-Apr-24</c:v>
                  </c:pt>
                  <c:pt idx="9">
                    <c:v>16-Apr-24</c:v>
                  </c:pt>
                </c:lvl>
                <c:lvl>
                  <c:pt idx="0">
                    <c:v>Coding</c:v>
                  </c:pt>
                  <c:pt idx="2">
                    <c:v>Designing</c:v>
                  </c:pt>
                  <c:pt idx="5">
                    <c:v>Requirement Gathering</c:v>
                  </c:pt>
                  <c:pt idx="7">
                    <c:v>Testing</c:v>
                  </c:pt>
                  <c:pt idx="9">
                    <c:v>thinking</c:v>
                  </c:pt>
                </c:lvl>
              </c:multiLvlStrCache>
            </c:multiLvlStrRef>
          </c:cat>
          <c:val>
            <c:numRef>
              <c:f>'Report Log Time'!$C$26:$C$35</c:f>
              <c:numCache>
                <c:formatCode>General</c:formatCode>
                <c:ptCount val="10"/>
                <c:pt idx="0">
                  <c:v>2</c:v>
                </c:pt>
                <c:pt idx="1">
                  <c:v>9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14-4957-8E86-860E373C7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6465312"/>
        <c:axId val="466474048"/>
      </c:barChart>
      <c:catAx>
        <c:axId val="466465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74048"/>
        <c:crosses val="autoZero"/>
        <c:auto val="1"/>
        <c:lblAlgn val="ctr"/>
        <c:lblOffset val="100"/>
        <c:noMultiLvlLbl val="0"/>
      </c:catAx>
      <c:valAx>
        <c:axId val="46647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6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[Zoho_Project_Add_Time_Log updated.xlsm]Report Log Time!PivotTable3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Clients</a:t>
            </a:r>
            <a:r>
              <a:rPr lang="en-US" baseline="0"/>
              <a:t>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Time'!$A$85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Log Time'!$A$86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'Report Log Time'!$A$86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9-428C-832F-0F6CB74D71C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493460608"/>
        <c:axId val="1493454784"/>
      </c:barChart>
      <c:catAx>
        <c:axId val="149346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454784"/>
        <c:crosses val="autoZero"/>
        <c:auto val="1"/>
        <c:lblAlgn val="ctr"/>
        <c:lblOffset val="100"/>
        <c:noMultiLvlLbl val="0"/>
      </c:catAx>
      <c:valAx>
        <c:axId val="14934547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No of Clients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49346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Time!PivotTable19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Jobs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Time'!$B$102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Log Time'!$A$103:$A$105</c:f>
              <c:strCache>
                <c:ptCount val="3"/>
                <c:pt idx="0">
                  <c:v>Cafe management and  online food ordering</c:v>
                </c:pt>
                <c:pt idx="1">
                  <c:v>freelance</c:v>
                </c:pt>
                <c:pt idx="2">
                  <c:v>(blank)</c:v>
                </c:pt>
              </c:strCache>
            </c:strRef>
          </c:cat>
          <c:val>
            <c:numRef>
              <c:f>'Report Log Time'!$B$103:$B$105</c:f>
              <c:numCache>
                <c:formatCode>General</c:formatCode>
                <c:ptCount val="3"/>
                <c:pt idx="0">
                  <c:v>4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9-4A7F-AC9F-F061676579E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19969472"/>
        <c:axId val="419957408"/>
      </c:barChart>
      <c:catAx>
        <c:axId val="4199694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57408"/>
        <c:crosses val="autoZero"/>
        <c:auto val="1"/>
        <c:lblAlgn val="ctr"/>
        <c:lblOffset val="100"/>
        <c:noMultiLvlLbl val="0"/>
      </c:catAx>
      <c:valAx>
        <c:axId val="41995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6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[1]Jobs!$H$1</c:f>
              <c:strCache>
                <c:ptCount val="1"/>
                <c:pt idx="0">
                  <c:v>Rate per Hour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86-49FF-9E1F-B789669F91F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86-49FF-9E1F-B789669F91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86-49FF-9E1F-B789669F91F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86-49FF-9E1F-B789669F91F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D86-49FF-9E1F-B789669F91F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D86-49FF-9E1F-B789669F91F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D86-49FF-9E1F-B789669F91F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[1]Jobs!$B$2:$B$8</c:f>
              <c:strCache>
                <c:ptCount val="7"/>
                <c:pt idx="0">
                  <c:v>Coding</c:v>
                </c:pt>
                <c:pt idx="1">
                  <c:v>Designing</c:v>
                </c:pt>
                <c:pt idx="2">
                  <c:v>Testing</c:v>
                </c:pt>
                <c:pt idx="4">
                  <c:v>Requirement Gathering</c:v>
                </c:pt>
                <c:pt idx="5">
                  <c:v>thinking</c:v>
                </c:pt>
              </c:strCache>
            </c:strRef>
          </c:cat>
          <c:val>
            <c:numRef>
              <c:f>[1]Jobs!$H$2:$H$8</c:f>
              <c:numCache>
                <c:formatCode>General</c:formatCode>
                <c:ptCount val="7"/>
                <c:pt idx="0">
                  <c:v>800</c:v>
                </c:pt>
                <c:pt idx="1">
                  <c:v>500</c:v>
                </c:pt>
                <c:pt idx="2">
                  <c:v>600</c:v>
                </c:pt>
                <c:pt idx="4">
                  <c:v>300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D86-49FF-9E1F-B789669F91FA}"/>
            </c:ext>
          </c:extLst>
        </c:ser>
        <c:ser>
          <c:idx val="1"/>
          <c:order val="1"/>
          <c:tx>
            <c:v>projectName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D86-49FF-9E1F-B789669F91F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1D86-49FF-9E1F-B789669F9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"/>
          <c:y val="0.92187445319335082"/>
          <c:w val="0.9"/>
          <c:h val="7.81255468066491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</a:t>
            </a:r>
            <a:r>
              <a:rPr lang="en-US" baseline="0"/>
              <a:t> per Job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865120040804099"/>
          <c:y val="0.19486128233970754"/>
          <c:w val="0.66934886264216975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[1]Jobs!$H$1</c:f>
              <c:strCache>
                <c:ptCount val="1"/>
                <c:pt idx="0">
                  <c:v>Rate per Hour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([1]Jobs!$B$2:$B$4,[1]Jobs!$B$6:$B$7,[1]Jobs!$D$2:$D$8)</c:f>
              <c:strCache>
                <c:ptCount val="12"/>
                <c:pt idx="0">
                  <c:v>Coding</c:v>
                </c:pt>
                <c:pt idx="1">
                  <c:v>Designing</c:v>
                </c:pt>
                <c:pt idx="2">
                  <c:v>Testing</c:v>
                </c:pt>
                <c:pt idx="3">
                  <c:v>Requirement Gathering</c:v>
                </c:pt>
                <c:pt idx="4">
                  <c:v>thinking</c:v>
                </c:pt>
                <c:pt idx="5">
                  <c:v>Cafe management and  online food ordering</c:v>
                </c:pt>
                <c:pt idx="6">
                  <c:v>Cafe management and  online food ordering</c:v>
                </c:pt>
                <c:pt idx="7">
                  <c:v>Cafe management and  online food ordering</c:v>
                </c:pt>
                <c:pt idx="9">
                  <c:v>Cafe management and  online food ordering</c:v>
                </c:pt>
                <c:pt idx="10">
                  <c:v>freelance</c:v>
                </c:pt>
              </c:strCache>
              <c:extLst/>
            </c:strRef>
          </c:cat>
          <c:val>
            <c:numRef>
              <c:f>([1]Jobs!$H$2:$H$4,[1]Jobs!$H$6:$H$7)</c:f>
              <c:numCache>
                <c:formatCode>General</c:formatCode>
                <c:ptCount val="5"/>
                <c:pt idx="0">
                  <c:v>800</c:v>
                </c:pt>
                <c:pt idx="1">
                  <c:v>500</c:v>
                </c:pt>
                <c:pt idx="2">
                  <c:v>600</c:v>
                </c:pt>
                <c:pt idx="3">
                  <c:v>300</c:v>
                </c:pt>
                <c:pt idx="4">
                  <c:v>200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5204-4698-99BD-9EA9A95B5678}"/>
            </c:ext>
          </c:extLst>
        </c:ser>
        <c:ser>
          <c:idx val="1"/>
          <c:order val="1"/>
          <c:tx>
            <c:v>ProjectName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Coding</c:v>
              </c:pt>
              <c:pt idx="1">
                <c:v>Designing</c:v>
              </c:pt>
              <c:pt idx="2">
                <c:v>Testing</c:v>
              </c:pt>
              <c:pt idx="4">
                <c:v>Requirement Gathering</c:v>
              </c:pt>
              <c:pt idx="5">
                <c:v>thinking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5204-4698-99BD-9EA9A95B5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53066863"/>
        <c:axId val="653042735"/>
      </c:barChart>
      <c:catAx>
        <c:axId val="653066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42735"/>
        <c:crosses val="autoZero"/>
        <c:auto val="1"/>
        <c:lblAlgn val="ctr"/>
        <c:lblOffset val="100"/>
        <c:noMultiLvlLbl val="0"/>
      </c:catAx>
      <c:valAx>
        <c:axId val="653042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066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Time!PivotTable31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Count</a:t>
            </a:r>
            <a:r>
              <a:rPr lang="en-US" baseline="0"/>
              <a:t> of Project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Time'!$A$153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Log Time'!$A$154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'Report Log Time'!$A$154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9-43FF-BC55-9C3635ABF50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81937936"/>
        <c:axId val="81947920"/>
      </c:barChart>
      <c:catAx>
        <c:axId val="8193793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47920"/>
        <c:crosses val="autoZero"/>
        <c:auto val="1"/>
        <c:lblAlgn val="ctr"/>
        <c:lblOffset val="100"/>
        <c:noMultiLvlLbl val="0"/>
      </c:catAx>
      <c:valAx>
        <c:axId val="8194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</a:t>
                </a:r>
                <a:r>
                  <a:rPr lang="en-US" baseline="0"/>
                  <a:t> of projects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Project</a:t>
            </a:r>
            <a:r>
              <a:rPr lang="en-US" baseline="0"/>
              <a:t>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Time'!$B$169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Log Time'!$A$170:$A$171</c:f>
              <c:strCache>
                <c:ptCount val="2"/>
                <c:pt idx="0">
                  <c:v>In-Progress</c:v>
                </c:pt>
                <c:pt idx="1">
                  <c:v>(blank)</c:v>
                </c:pt>
              </c:strCache>
            </c:strRef>
          </c:cat>
          <c:val>
            <c:numRef>
              <c:f>'Report Log Time'!$B$170:$B$171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1-47DD-B9F0-40A71D180F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8530191"/>
        <c:axId val="58534351"/>
      </c:barChart>
      <c:catAx>
        <c:axId val="5853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34351"/>
        <c:crosses val="autoZero"/>
        <c:auto val="1"/>
        <c:lblAlgn val="ctr"/>
        <c:lblOffset val="100"/>
        <c:noMultiLvlLbl val="0"/>
      </c:catAx>
      <c:valAx>
        <c:axId val="585343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530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time by Job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Time'!$C$48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'Report Log Time'!$A$49:$B$55</c:f>
              <c:multiLvlStrCache>
                <c:ptCount val="7"/>
                <c:lvl>
                  <c:pt idx="0">
                    <c:v>Coding</c:v>
                  </c:pt>
                  <c:pt idx="1">
                    <c:v>Designing</c:v>
                  </c:pt>
                  <c:pt idx="2">
                    <c:v>Requirement Gathering</c:v>
                  </c:pt>
                  <c:pt idx="3">
                    <c:v>Testing</c:v>
                  </c:pt>
                  <c:pt idx="4">
                    <c:v>Designing</c:v>
                  </c:pt>
                  <c:pt idx="5">
                    <c:v>thinking</c:v>
                  </c:pt>
                  <c:pt idx="6">
                    <c:v>Testing</c:v>
                  </c:pt>
                </c:lvl>
                <c:lvl>
                  <c:pt idx="0">
                    <c:v>Cafe management and  online food ordering</c:v>
                  </c:pt>
                  <c:pt idx="4">
                    <c:v>freelance</c:v>
                  </c:pt>
                  <c:pt idx="6">
                    <c:v>(blank)</c:v>
                  </c:pt>
                </c:lvl>
              </c:multiLvlStrCache>
            </c:multiLvlStrRef>
          </c:cat>
          <c:val>
            <c:numRef>
              <c:f>'Report Log Time'!$C$49:$C$55</c:f>
              <c:numCache>
                <c:formatCode>General</c:formatCode>
                <c:ptCount val="7"/>
                <c:pt idx="0">
                  <c:v>217</c:v>
                </c:pt>
                <c:pt idx="1">
                  <c:v>64</c:v>
                </c:pt>
                <c:pt idx="2">
                  <c:v>4</c:v>
                </c:pt>
                <c:pt idx="3">
                  <c:v>68</c:v>
                </c:pt>
                <c:pt idx="4">
                  <c:v>3</c:v>
                </c:pt>
                <c:pt idx="5">
                  <c:v>6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9-4EAC-B99D-123A1240A5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79090607"/>
        <c:axId val="1279068975"/>
      </c:barChart>
      <c:catAx>
        <c:axId val="12790906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068975"/>
        <c:crosses val="autoZero"/>
        <c:auto val="1"/>
        <c:lblAlgn val="ctr"/>
        <c:lblOffset val="100"/>
        <c:noMultiLvlLbl val="0"/>
      </c:catAx>
      <c:valAx>
        <c:axId val="127906897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9090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time by Project Name</a:t>
            </a:r>
          </a:p>
        </c:rich>
      </c:tx>
      <c:layout>
        <c:manualLayout>
          <c:xMode val="edge"/>
          <c:yMode val="edge"/>
          <c:x val="0.275761564960629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Time'!$B$66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Time'!$A$67:$A$69</c:f>
              <c:strCache>
                <c:ptCount val="3"/>
                <c:pt idx="0">
                  <c:v>Cafe management and  online food ordering</c:v>
                </c:pt>
                <c:pt idx="1">
                  <c:v>freelance</c:v>
                </c:pt>
                <c:pt idx="2">
                  <c:v>(blank)</c:v>
                </c:pt>
              </c:strCache>
            </c:strRef>
          </c:cat>
          <c:val>
            <c:numRef>
              <c:f>'Report Log Time'!$B$67:$B$69</c:f>
              <c:numCache>
                <c:formatCode>General</c:formatCode>
                <c:ptCount val="3"/>
                <c:pt idx="0">
                  <c:v>353</c:v>
                </c:pt>
                <c:pt idx="1">
                  <c:v>9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B-4CC1-9A63-6CD8ACB8B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6701824"/>
        <c:axId val="616710560"/>
      </c:barChart>
      <c:catAx>
        <c:axId val="61670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710560"/>
        <c:crosses val="autoZero"/>
        <c:auto val="1"/>
        <c:lblAlgn val="ctr"/>
        <c:lblOffset val="100"/>
        <c:noMultiLvlLbl val="0"/>
      </c:catAx>
      <c:valAx>
        <c:axId val="616710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70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Time!PivotTable9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Time'!$B$186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Time'!$A$187</c:f>
              <c:strCache>
                <c:ptCount val="1"/>
                <c:pt idx="0">
                  <c:v>In-Progress</c:v>
                </c:pt>
              </c:strCache>
            </c:strRef>
          </c:cat>
          <c:val>
            <c:numRef>
              <c:f>'Report Log Time'!$B$187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86-4E98-975C-D13B09982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8870976"/>
        <c:axId val="258867648"/>
      </c:barChart>
      <c:catAx>
        <c:axId val="258870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67648"/>
        <c:crosses val="autoZero"/>
        <c:auto val="1"/>
        <c:lblAlgn val="ctr"/>
        <c:lblOffset val="100"/>
        <c:noMultiLvlLbl val="0"/>
      </c:catAx>
      <c:valAx>
        <c:axId val="25886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7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013123359580053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Project!$C$1</c:f>
              <c:strCache>
                <c:ptCount val="1"/>
                <c:pt idx="0">
                  <c:v>ProjectCost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Project!$B$2:$B$11</c:f>
              <c:strCache>
                <c:ptCount val="10"/>
                <c:pt idx="0">
                  <c:v>NFiTii Project</c:v>
                </c:pt>
                <c:pt idx="1">
                  <c:v>Crypt web</c:v>
                </c:pt>
                <c:pt idx="2">
                  <c:v>Lamar Interiors</c:v>
                </c:pt>
                <c:pt idx="3">
                  <c:v>Logistics website</c:v>
                </c:pt>
                <c:pt idx="4">
                  <c:v>Stock Market</c:v>
                </c:pt>
                <c:pt idx="5">
                  <c:v>Stock exchange</c:v>
                </c:pt>
                <c:pt idx="6">
                  <c:v>Moiz Solkar</c:v>
                </c:pt>
                <c:pt idx="7">
                  <c:v>burj khalifa</c:v>
                </c:pt>
                <c:pt idx="8">
                  <c:v>Fifa Website</c:v>
                </c:pt>
                <c:pt idx="9">
                  <c:v>Ubisoft Website</c:v>
                </c:pt>
              </c:strCache>
            </c:strRef>
          </c:cat>
          <c:val>
            <c:numRef>
              <c:f>Project!$C$2:$C$11</c:f>
              <c:numCache>
                <c:formatCode>General</c:formatCode>
                <c:ptCount val="10"/>
                <c:pt idx="0">
                  <c:v>40000</c:v>
                </c:pt>
                <c:pt idx="1">
                  <c:v>100000</c:v>
                </c:pt>
                <c:pt idx="2">
                  <c:v>4000043</c:v>
                </c:pt>
                <c:pt idx="3">
                  <c:v>889198391</c:v>
                </c:pt>
                <c:pt idx="4">
                  <c:v>30000</c:v>
                </c:pt>
                <c:pt idx="5">
                  <c:v>5000000</c:v>
                </c:pt>
                <c:pt idx="6">
                  <c:v>55902</c:v>
                </c:pt>
                <c:pt idx="7">
                  <c:v>0</c:v>
                </c:pt>
                <c:pt idx="8">
                  <c:v>100000</c:v>
                </c:pt>
                <c:pt idx="9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9-4112-BC61-C35C154EE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341008"/>
        <c:axId val="63342672"/>
      </c:barChart>
      <c:catAx>
        <c:axId val="633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2672"/>
        <c:crosses val="autoZero"/>
        <c:auto val="1"/>
        <c:lblAlgn val="ctr"/>
        <c:lblOffset val="100"/>
        <c:noMultiLvlLbl val="0"/>
      </c:catAx>
      <c:valAx>
        <c:axId val="6334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</a:t>
            </a:r>
            <a:r>
              <a:rPr lang="en-US" baseline="0"/>
              <a:t> Status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For DB'!$J$2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DB'!$J$3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'Report Log For DB'!$J$3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0-4785-A725-528B3A361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4023776"/>
        <c:axId val="1891329696"/>
      </c:barChart>
      <c:catAx>
        <c:axId val="184402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329696"/>
        <c:crosses val="autoZero"/>
        <c:auto val="1"/>
        <c:lblAlgn val="ctr"/>
        <c:lblOffset val="100"/>
        <c:noMultiLvlLbl val="0"/>
      </c:catAx>
      <c:valAx>
        <c:axId val="189132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02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ProjectHeads!$D$1</c:f>
              <c:strCache>
                <c:ptCount val="1"/>
                <c:pt idx="0">
                  <c:v>Rate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ProjectHeads!$A$2:$A$11</c:f>
              <c:numCache>
                <c:formatCode>General</c:formatCode>
                <c:ptCount val="10"/>
                <c:pt idx="0">
                  <c:v>1068</c:v>
                </c:pt>
                <c:pt idx="1">
                  <c:v>1069</c:v>
                </c:pt>
                <c:pt idx="2">
                  <c:v>1070</c:v>
                </c:pt>
                <c:pt idx="3">
                  <c:v>1071</c:v>
                </c:pt>
                <c:pt idx="4">
                  <c:v>1072</c:v>
                </c:pt>
                <c:pt idx="5">
                  <c:v>1073</c:v>
                </c:pt>
                <c:pt idx="6">
                  <c:v>1074</c:v>
                </c:pt>
                <c:pt idx="7">
                  <c:v>1075</c:v>
                </c:pt>
                <c:pt idx="8">
                  <c:v>1076</c:v>
                </c:pt>
                <c:pt idx="9">
                  <c:v>1077</c:v>
                </c:pt>
              </c:numCache>
            </c:numRef>
          </c:cat>
          <c:val>
            <c:numRef>
              <c:f>ProjectHeads!$D$2:$D$11</c:f>
              <c:numCache>
                <c:formatCode>General</c:formatCode>
                <c:ptCount val="10"/>
                <c:pt idx="0">
                  <c:v>0</c:v>
                </c:pt>
                <c:pt idx="1">
                  <c:v>30</c:v>
                </c:pt>
                <c:pt idx="2">
                  <c:v>500</c:v>
                </c:pt>
                <c:pt idx="3">
                  <c:v>2090</c:v>
                </c:pt>
                <c:pt idx="4">
                  <c:v>65</c:v>
                </c:pt>
                <c:pt idx="5">
                  <c:v>400</c:v>
                </c:pt>
                <c:pt idx="6">
                  <c:v>250</c:v>
                </c:pt>
                <c:pt idx="7">
                  <c:v>32</c:v>
                </c:pt>
                <c:pt idx="8">
                  <c:v>667</c:v>
                </c:pt>
                <c:pt idx="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55-4898-BC85-A9A2A47FB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06208"/>
        <c:axId val="70105792"/>
      </c:barChart>
      <c:catAx>
        <c:axId val="7010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05792"/>
        <c:crosses val="autoZero"/>
        <c:auto val="1"/>
        <c:lblAlgn val="ctr"/>
        <c:lblOffset val="100"/>
        <c:noMultiLvlLbl val="0"/>
      </c:catAx>
      <c:valAx>
        <c:axId val="701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DB!PivotTable39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JobStatus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For DB'!$K$18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DB'!$J$19:$J$20</c:f>
              <c:strCache>
                <c:ptCount val="2"/>
                <c:pt idx="0">
                  <c:v>Completed</c:v>
                </c:pt>
                <c:pt idx="1">
                  <c:v>In-Progress</c:v>
                </c:pt>
              </c:strCache>
            </c:strRef>
          </c:cat>
          <c:val>
            <c:numRef>
              <c:f>'Report Log For DB'!$K$19:$K$20</c:f>
              <c:numCache>
                <c:formatCode>General</c:formatCode>
                <c:ptCount val="2"/>
                <c:pt idx="0">
                  <c:v>1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9-48F2-99B9-6BE4F4D6C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4697568"/>
        <c:axId val="1224697984"/>
      </c:barChart>
      <c:catAx>
        <c:axId val="122469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97984"/>
        <c:crosses val="autoZero"/>
        <c:auto val="1"/>
        <c:lblAlgn val="ctr"/>
        <c:lblOffset val="100"/>
        <c:noMultiLvlLbl val="0"/>
      </c:catAx>
      <c:valAx>
        <c:axId val="122469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9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job!$R$1</c:f>
              <c:strCache>
                <c:ptCount val="1"/>
                <c:pt idx="0">
                  <c:v>RatePerHour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job!$C$2:$C$17</c:f>
              <c:strCache>
                <c:ptCount val="10"/>
                <c:pt idx="0">
                  <c:v>backend testing</c:v>
                </c:pt>
                <c:pt idx="1">
                  <c:v>Coding</c:v>
                </c:pt>
                <c:pt idx="2">
                  <c:v>Coding</c:v>
                </c:pt>
                <c:pt idx="3">
                  <c:v>Data Analysis</c:v>
                </c:pt>
                <c:pt idx="4">
                  <c:v>Data mining</c:v>
                </c:pt>
                <c:pt idx="5">
                  <c:v>Requirement Analysi</c:v>
                </c:pt>
                <c:pt idx="6">
                  <c:v>Software testing</c:v>
                </c:pt>
                <c:pt idx="7">
                  <c:v>software testing 12</c:v>
                </c:pt>
                <c:pt idx="8">
                  <c:v>software testing 123</c:v>
                </c:pt>
                <c:pt idx="9">
                  <c:v>Testing</c:v>
                </c:pt>
              </c:strCache>
            </c:strRef>
          </c:cat>
          <c:val>
            <c:numRef>
              <c:f>job!$R$2:$R$17</c:f>
              <c:numCache>
                <c:formatCode>General</c:formatCode>
                <c:ptCount val="16"/>
                <c:pt idx="0">
                  <c:v>0</c:v>
                </c:pt>
                <c:pt idx="1">
                  <c:v>500</c:v>
                </c:pt>
                <c:pt idx="2">
                  <c:v>0</c:v>
                </c:pt>
                <c:pt idx="3">
                  <c:v>1000</c:v>
                </c:pt>
                <c:pt idx="4">
                  <c:v>500</c:v>
                </c:pt>
                <c:pt idx="5">
                  <c:v>150</c:v>
                </c:pt>
                <c:pt idx="6">
                  <c:v>0</c:v>
                </c:pt>
                <c:pt idx="7">
                  <c:v>0</c:v>
                </c:pt>
                <c:pt idx="8">
                  <c:v>1000</c:v>
                </c:pt>
                <c:pt idx="9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DB-40A0-B021-6ACD0BFE3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4698816"/>
        <c:axId val="1224698400"/>
      </c:barChart>
      <c:catAx>
        <c:axId val="122469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98400"/>
        <c:crosses val="autoZero"/>
        <c:auto val="1"/>
        <c:lblAlgn val="ctr"/>
        <c:lblOffset val="100"/>
        <c:noMultiLvlLbl val="0"/>
      </c:catAx>
      <c:valAx>
        <c:axId val="12246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69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DB!PivotTable71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JobName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For DB'!$K$35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DB'!$J$36:$J$40</c:f>
              <c:strCache>
                <c:ptCount val="5"/>
                <c:pt idx="0">
                  <c:v>Crypt web</c:v>
                </c:pt>
                <c:pt idx="1">
                  <c:v>Logistics website</c:v>
                </c:pt>
                <c:pt idx="2">
                  <c:v>NFiTii Project</c:v>
                </c:pt>
                <c:pt idx="3">
                  <c:v>Ubisoft Website</c:v>
                </c:pt>
                <c:pt idx="4">
                  <c:v>Unknown</c:v>
                </c:pt>
              </c:strCache>
            </c:strRef>
          </c:cat>
          <c:val>
            <c:numRef>
              <c:f>'Report Log For DB'!$K$36:$K$40</c:f>
              <c:numCache>
                <c:formatCode>General</c:formatCode>
                <c:ptCount val="5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4-4425-BB44-8ADE25B4C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0995856"/>
        <c:axId val="1050994192"/>
      </c:barChart>
      <c:catAx>
        <c:axId val="105099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94192"/>
        <c:crosses val="autoZero"/>
        <c:auto val="1"/>
        <c:lblAlgn val="ctr"/>
        <c:lblOffset val="100"/>
        <c:noMultiLvlLbl val="0"/>
      </c:catAx>
      <c:valAx>
        <c:axId val="105099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DB!PivotTable78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JobName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Log For DB'!$B$52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DB'!$A$53:$A$55</c:f>
              <c:strCache>
                <c:ptCount val="3"/>
                <c:pt idx="0">
                  <c:v>Prince Housing</c:v>
                </c:pt>
                <c:pt idx="1">
                  <c:v>Prince Technologies</c:v>
                </c:pt>
                <c:pt idx="2">
                  <c:v>Unknown</c:v>
                </c:pt>
              </c:strCache>
            </c:strRef>
          </c:cat>
          <c:val>
            <c:numRef>
              <c:f>'Report Log For DB'!$B$53:$B$55</c:f>
              <c:numCache>
                <c:formatCode>General</c:formatCode>
                <c:ptCount val="3"/>
                <c:pt idx="0">
                  <c:v>2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3-47AB-AE59-CC3F32693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50992944"/>
        <c:axId val="1050995024"/>
      </c:barChart>
      <c:catAx>
        <c:axId val="1050992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95024"/>
        <c:crosses val="autoZero"/>
        <c:auto val="1"/>
        <c:lblAlgn val="ctr"/>
        <c:lblOffset val="100"/>
        <c:noMultiLvlLbl val="0"/>
      </c:catAx>
      <c:valAx>
        <c:axId val="105099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9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</a:t>
            </a:r>
            <a:r>
              <a:rPr lang="en-US" baseline="0"/>
              <a:t> Of Clients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For DB'!$K$52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DB'!$K$53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'Report Log For DB'!$K$53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B-4A97-87A2-8B75D453F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681552"/>
        <c:axId val="151680720"/>
      </c:barChart>
      <c:catAx>
        <c:axId val="151681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80720"/>
        <c:crosses val="autoZero"/>
        <c:auto val="1"/>
        <c:lblAlgn val="ctr"/>
        <c:lblOffset val="100"/>
        <c:noMultiLvlLbl val="0"/>
      </c:catAx>
      <c:valAx>
        <c:axId val="15168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81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[Zoho_Project_Add_Time_Log updated.xlsm]Report Log For DB!PivotTable4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</a:t>
            </a:r>
            <a:r>
              <a:rPr lang="en-US" baseline="0"/>
              <a:t> Of Assignee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Log For DB'!$A$69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'Report Log For DB'!$A$70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'Report Log For DB'!$A$70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6-43FA-AA63-168ED4930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683216"/>
        <c:axId val="151664080"/>
      </c:barChart>
      <c:catAx>
        <c:axId val="15168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4080"/>
        <c:crosses val="autoZero"/>
        <c:auto val="1"/>
        <c:lblAlgn val="ctr"/>
        <c:lblOffset val="100"/>
        <c:noMultiLvlLbl val="0"/>
      </c:catAx>
      <c:valAx>
        <c:axId val="15166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8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9</xdr:row>
          <xdr:rowOff>25400</xdr:rowOff>
        </xdr:from>
        <xdr:to>
          <xdr:col>4</xdr:col>
          <xdr:colOff>2946400</xdr:colOff>
          <xdr:row>10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Clients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111125</xdr:colOff>
      <xdr:row>0</xdr:row>
      <xdr:rowOff>63500</xdr:rowOff>
    </xdr:from>
    <xdr:to>
      <xdr:col>0</xdr:col>
      <xdr:colOff>558800</xdr:colOff>
      <xdr:row>2</xdr:row>
      <xdr:rowOff>84259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" y="63500"/>
          <a:ext cx="447675" cy="5033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1517650</xdr:colOff>
          <xdr:row>5</xdr:row>
          <xdr:rowOff>50800</xdr:rowOff>
        </xdr:from>
        <xdr:to>
          <xdr:col>4</xdr:col>
          <xdr:colOff>571500</xdr:colOff>
          <xdr:row>7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Projects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1187450</xdr:colOff>
          <xdr:row>5</xdr:row>
          <xdr:rowOff>25400</xdr:rowOff>
        </xdr:from>
        <xdr:to>
          <xdr:col>4</xdr:col>
          <xdr:colOff>2921000</xdr:colOff>
          <xdr:row>7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Jobs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158750</xdr:colOff>
          <xdr:row>5</xdr:row>
          <xdr:rowOff>63500</xdr:rowOff>
        </xdr:from>
        <xdr:to>
          <xdr:col>6</xdr:col>
          <xdr:colOff>1714500</xdr:colOff>
          <xdr:row>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Log Time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1511300</xdr:colOff>
          <xdr:row>9</xdr:row>
          <xdr:rowOff>38100</xdr:rowOff>
        </xdr:from>
        <xdr:to>
          <xdr:col>4</xdr:col>
          <xdr:colOff>635000</xdr:colOff>
          <xdr:row>11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Log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222250</xdr:colOff>
          <xdr:row>11</xdr:row>
          <xdr:rowOff>82550</xdr:rowOff>
        </xdr:from>
        <xdr:to>
          <xdr:col>6</xdr:col>
          <xdr:colOff>1619250</xdr:colOff>
          <xdr:row>13</xdr:row>
          <xdr:rowOff>88900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Log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15</xdr:row>
          <xdr:rowOff>31750</xdr:rowOff>
        </xdr:from>
        <xdr:to>
          <xdr:col>6</xdr:col>
          <xdr:colOff>1638300</xdr:colOff>
          <xdr:row>17</xdr:row>
          <xdr:rowOff>44450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5</xdr:row>
          <xdr:rowOff>44450</xdr:rowOff>
        </xdr:from>
        <xdr:to>
          <xdr:col>2</xdr:col>
          <xdr:colOff>1155700</xdr:colOff>
          <xdr:row>7</xdr:row>
          <xdr:rowOff>38100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38100</xdr:rowOff>
        </xdr:from>
        <xdr:to>
          <xdr:col>2</xdr:col>
          <xdr:colOff>1155700</xdr:colOff>
          <xdr:row>11</xdr:row>
          <xdr:rowOff>19050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234950</xdr:colOff>
          <xdr:row>18</xdr:row>
          <xdr:rowOff>88900</xdr:rowOff>
        </xdr:from>
        <xdr:to>
          <xdr:col>6</xdr:col>
          <xdr:colOff>1657350</xdr:colOff>
          <xdr:row>20</xdr:row>
          <xdr:rowOff>76200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View Reports DB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8</xdr:row>
          <xdr:rowOff>50800</xdr:rowOff>
        </xdr:from>
        <xdr:to>
          <xdr:col>3</xdr:col>
          <xdr:colOff>971550</xdr:colOff>
          <xdr:row>9</xdr:row>
          <xdr:rowOff>139700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Token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22</xdr:row>
      <xdr:rowOff>0</xdr:rowOff>
    </xdr:from>
    <xdr:to>
      <xdr:col>20</xdr:col>
      <xdr:colOff>304800</xdr:colOff>
      <xdr:row>46</xdr:row>
      <xdr:rowOff>4158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8050" y="4267200"/>
          <a:ext cx="10058400" cy="442375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17</xdr:col>
      <xdr:colOff>372633</xdr:colOff>
      <xdr:row>75</xdr:row>
      <xdr:rowOff>54702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8050" y="8870950"/>
          <a:ext cx="8297433" cy="52109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1130300</xdr:colOff>
          <xdr:row>8</xdr:row>
          <xdr:rowOff>44450</xdr:rowOff>
        </xdr:from>
        <xdr:to>
          <xdr:col>3</xdr:col>
          <xdr:colOff>1187450</xdr:colOff>
          <xdr:row>9</xdr:row>
          <xdr:rowOff>158750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Token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11</xdr:row>
          <xdr:rowOff>76200</xdr:rowOff>
        </xdr:from>
        <xdr:to>
          <xdr:col>5</xdr:col>
          <xdr:colOff>184150</xdr:colOff>
          <xdr:row>12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FCD53B3-4071-415D-BD94-459CC030F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Time Log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10</xdr:row>
          <xdr:rowOff>44450</xdr:rowOff>
        </xdr:from>
        <xdr:to>
          <xdr:col>1</xdr:col>
          <xdr:colOff>1181100</xdr:colOff>
          <xdr:row>12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13</xdr:row>
          <xdr:rowOff>50800</xdr:rowOff>
        </xdr:from>
        <xdr:to>
          <xdr:col>6</xdr:col>
          <xdr:colOff>184150</xdr:colOff>
          <xdr:row>15</xdr:row>
          <xdr:rowOff>69850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TimeLog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38100</xdr:rowOff>
        </xdr:from>
        <xdr:to>
          <xdr:col>7</xdr:col>
          <xdr:colOff>1250950</xdr:colOff>
          <xdr:row>0</xdr:row>
          <xdr:rowOff>323850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1898650</xdr:colOff>
          <xdr:row>14</xdr:row>
          <xdr:rowOff>114300</xdr:rowOff>
        </xdr:from>
        <xdr:to>
          <xdr:col>8</xdr:col>
          <xdr:colOff>292100</xdr:colOff>
          <xdr:row>16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Log Time Weekly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82550</xdr:colOff>
          <xdr:row>0</xdr:row>
          <xdr:rowOff>50800</xdr:rowOff>
        </xdr:from>
        <xdr:to>
          <xdr:col>10</xdr:col>
          <xdr:colOff>1092200</xdr:colOff>
          <xdr:row>1</xdr:row>
          <xdr:rowOff>6350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863600</xdr:colOff>
          <xdr:row>0</xdr:row>
          <xdr:rowOff>31750</xdr:rowOff>
        </xdr:from>
        <xdr:to>
          <xdr:col>4</xdr:col>
          <xdr:colOff>1257300</xdr:colOff>
          <xdr:row>0</xdr:row>
          <xdr:rowOff>292100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0</xdr:row>
          <xdr:rowOff>63500</xdr:rowOff>
        </xdr:from>
        <xdr:to>
          <xdr:col>8</xdr:col>
          <xdr:colOff>647700</xdr:colOff>
          <xdr:row>1</xdr:row>
          <xdr:rowOff>25400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984250</xdr:colOff>
          <xdr:row>16</xdr:row>
          <xdr:rowOff>165100</xdr:rowOff>
        </xdr:from>
        <xdr:to>
          <xdr:col>6</xdr:col>
          <xdr:colOff>1625600</xdr:colOff>
          <xdr:row>19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Log Time Monthly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0</xdr:row>
          <xdr:rowOff>12700</xdr:rowOff>
        </xdr:from>
        <xdr:to>
          <xdr:col>8</xdr:col>
          <xdr:colOff>1219200</xdr:colOff>
          <xdr:row>1</xdr:row>
          <xdr:rowOff>19050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241300</xdr:colOff>
      <xdr:row>1</xdr:row>
      <xdr:rowOff>136524</xdr:rowOff>
    </xdr:from>
    <xdr:to>
      <xdr:col>13</xdr:col>
      <xdr:colOff>57149</xdr:colOff>
      <xdr:row>21</xdr:row>
      <xdr:rowOff>6349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247650</xdr:colOff>
      <xdr:row>24</xdr:row>
      <xdr:rowOff>0</xdr:rowOff>
    </xdr:from>
    <xdr:to>
      <xdr:col>13</xdr:col>
      <xdr:colOff>63500</xdr:colOff>
      <xdr:row>44</xdr:row>
      <xdr:rowOff>101600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161990</xdr:colOff>
      <xdr:row>84</xdr:row>
      <xdr:rowOff>0</xdr:rowOff>
    </xdr:from>
    <xdr:to>
      <xdr:col>6</xdr:col>
      <xdr:colOff>172357</xdr:colOff>
      <xdr:row>99</xdr:row>
      <xdr:rowOff>21771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123112</xdr:colOff>
      <xdr:row>100</xdr:row>
      <xdr:rowOff>168470</xdr:rowOff>
    </xdr:from>
    <xdr:to>
      <xdr:col>7</xdr:col>
      <xdr:colOff>333417</xdr:colOff>
      <xdr:row>115</xdr:row>
      <xdr:rowOff>160608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816428</xdr:colOff>
      <xdr:row>117</xdr:row>
      <xdr:rowOff>38877</xdr:rowOff>
    </xdr:from>
    <xdr:to>
      <xdr:col>7</xdr:col>
      <xdr:colOff>340938</xdr:colOff>
      <xdr:row>132</xdr:row>
      <xdr:rowOff>95574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622041</xdr:colOff>
      <xdr:row>133</xdr:row>
      <xdr:rowOff>110153</xdr:rowOff>
    </xdr:from>
    <xdr:to>
      <xdr:col>7</xdr:col>
      <xdr:colOff>455373</xdr:colOff>
      <xdr:row>148</xdr:row>
      <xdr:rowOff>166849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187908</xdr:colOff>
      <xdr:row>151</xdr:row>
      <xdr:rowOff>155510</xdr:rowOff>
    </xdr:from>
    <xdr:to>
      <xdr:col>7</xdr:col>
      <xdr:colOff>18013</xdr:colOff>
      <xdr:row>166</xdr:row>
      <xdr:rowOff>177281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123112</xdr:colOff>
      <xdr:row>167</xdr:row>
      <xdr:rowOff>168469</xdr:rowOff>
    </xdr:from>
    <xdr:to>
      <xdr:col>7</xdr:col>
      <xdr:colOff>340826</xdr:colOff>
      <xdr:row>183</xdr:row>
      <xdr:rowOff>8811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142551</xdr:colOff>
      <xdr:row>47</xdr:row>
      <xdr:rowOff>0</xdr:rowOff>
    </xdr:from>
    <xdr:to>
      <xdr:col>10</xdr:col>
      <xdr:colOff>500030</xdr:colOff>
      <xdr:row>62</xdr:row>
      <xdr:rowOff>139247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194387</xdr:colOff>
      <xdr:row>64</xdr:row>
      <xdr:rowOff>161989</xdr:rowOff>
    </xdr:from>
    <xdr:to>
      <xdr:col>8</xdr:col>
      <xdr:colOff>490116</xdr:colOff>
      <xdr:row>80</xdr:row>
      <xdr:rowOff>2332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155510</xdr:colOff>
      <xdr:row>185</xdr:row>
      <xdr:rowOff>6479</xdr:rowOff>
    </xdr:from>
    <xdr:to>
      <xdr:col>8</xdr:col>
      <xdr:colOff>146439</xdr:colOff>
      <xdr:row>200</xdr:row>
      <xdr:rowOff>28251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158750</xdr:rowOff>
    </xdr:from>
    <xdr:to>
      <xdr:col>7</xdr:col>
      <xdr:colOff>476250</xdr:colOff>
      <xdr:row>15</xdr:row>
      <xdr:rowOff>139700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273050</xdr:colOff>
      <xdr:row>0</xdr:row>
      <xdr:rowOff>158750</xdr:rowOff>
    </xdr:from>
    <xdr:to>
      <xdr:col>18</xdr:col>
      <xdr:colOff>577850</xdr:colOff>
      <xdr:row>15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165100</xdr:colOff>
      <xdr:row>17</xdr:row>
      <xdr:rowOff>6350</xdr:rowOff>
    </xdr:from>
    <xdr:to>
      <xdr:col>7</xdr:col>
      <xdr:colOff>469900</xdr:colOff>
      <xdr:row>31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279400</xdr:colOff>
      <xdr:row>16</xdr:row>
      <xdr:rowOff>171450</xdr:rowOff>
    </xdr:from>
    <xdr:to>
      <xdr:col>18</xdr:col>
      <xdr:colOff>584200</xdr:colOff>
      <xdr:row>31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158750</xdr:colOff>
      <xdr:row>33</xdr:row>
      <xdr:rowOff>95250</xdr:rowOff>
    </xdr:from>
    <xdr:to>
      <xdr:col>7</xdr:col>
      <xdr:colOff>463550</xdr:colOff>
      <xdr:row>48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285750</xdr:colOff>
      <xdr:row>33</xdr:row>
      <xdr:rowOff>82550</xdr:rowOff>
    </xdr:from>
    <xdr:to>
      <xdr:col>18</xdr:col>
      <xdr:colOff>590550</xdr:colOff>
      <xdr:row>48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127000</xdr:colOff>
      <xdr:row>50</xdr:row>
      <xdr:rowOff>158750</xdr:rowOff>
    </xdr:from>
    <xdr:to>
      <xdr:col>9</xdr:col>
      <xdr:colOff>431800</xdr:colOff>
      <xdr:row>65</xdr:row>
      <xdr:rowOff>139700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279400</xdr:colOff>
      <xdr:row>50</xdr:row>
      <xdr:rowOff>139700</xdr:rowOff>
    </xdr:from>
    <xdr:to>
      <xdr:col>18</xdr:col>
      <xdr:colOff>584200</xdr:colOff>
      <xdr:row>65</xdr:row>
      <xdr:rowOff>120650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68</xdr:row>
      <xdr:rowOff>0</xdr:rowOff>
    </xdr:from>
    <xdr:to>
      <xdr:col>8</xdr:col>
      <xdr:colOff>209550</xdr:colOff>
      <xdr:row>82</xdr:row>
      <xdr:rowOff>165100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oho_Project_Add_Time_Log_V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GenerateAccessToken"/>
      <sheetName val="AccessToken"/>
      <sheetName val="RefreshToken"/>
      <sheetName val="LogTime"/>
      <sheetName val="logTimeDetails"/>
      <sheetName val="AddTimeLogs"/>
      <sheetName val="AddTimelogDaily"/>
      <sheetName val="AddTimelogWeekly"/>
      <sheetName val="AddTimelogMonthly"/>
      <sheetName val="JobsNames"/>
      <sheetName val="Clients"/>
      <sheetName val="Jobs"/>
      <sheetName val="Sheet3"/>
      <sheetName val="Projects"/>
      <sheetName val="AppConfig"/>
      <sheetName val="Sheet4"/>
      <sheetName val="Report Log 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H1" t="str">
            <v>Rate per Hour</v>
          </cell>
        </row>
        <row r="2">
          <cell r="B2" t="str">
            <v>Coding</v>
          </cell>
          <cell r="D2" t="str">
            <v>Cafe management and  online food ordering</v>
          </cell>
          <cell r="H2">
            <v>800</v>
          </cell>
        </row>
        <row r="3">
          <cell r="B3" t="str">
            <v>Designing</v>
          </cell>
          <cell r="D3" t="str">
            <v>Cafe management and  online food ordering</v>
          </cell>
          <cell r="H3">
            <v>500</v>
          </cell>
        </row>
        <row r="4">
          <cell r="B4" t="str">
            <v>Testing</v>
          </cell>
          <cell r="D4" t="str">
            <v>Cafe management and  online food ordering</v>
          </cell>
          <cell r="H4">
            <v>600</v>
          </cell>
        </row>
        <row r="6">
          <cell r="B6" t="str">
            <v>Requirement Gathering</v>
          </cell>
          <cell r="D6" t="str">
            <v>Cafe management and  online food ordering</v>
          </cell>
          <cell r="H6">
            <v>300</v>
          </cell>
        </row>
        <row r="7">
          <cell r="B7" t="str">
            <v>thinking</v>
          </cell>
          <cell r="D7" t="str">
            <v>freelance</v>
          </cell>
          <cell r="H7">
            <v>200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khil Bari" refreshedDate="45412.472608217591" createdVersion="6" refreshedVersion="6" minRefreshableVersion="3" recordCount="7">
  <cacheSource type="worksheet">
    <worksheetSource ref="A1:R8" sheet="Jobs"/>
  </cacheSource>
  <cacheFields count="18">
    <cacheField name="Job ID" numFmtId="49">
      <sharedItems/>
    </cacheField>
    <cacheField name="Job name" numFmtId="0">
      <sharedItems/>
    </cacheField>
    <cacheField name="Project ID" numFmtId="49">
      <sharedItems/>
    </cacheField>
    <cacheField name="Project Name" numFmtId="0">
      <sharedItems containsBlank="1"/>
    </cacheField>
    <cacheField name="Client ID" numFmtId="49">
      <sharedItems/>
    </cacheField>
    <cacheField name="Client Name" numFmtId="0">
      <sharedItems containsBlank="1"/>
    </cacheField>
    <cacheField name="Start Date" numFmtId="0">
      <sharedItems containsNonDate="0" containsDate="1" containsString="0" containsBlank="1" minDate="2024-04-08T00:00:00" maxDate="2024-04-25T00:00:00"/>
    </cacheField>
    <cacheField name="End Date" numFmtId="0">
      <sharedItems containsNonDate="0" containsDate="1" containsString="0" containsBlank="1" minDate="2024-04-12T00:00:00" maxDate="2024-05-10T00:00:00"/>
    </cacheField>
    <cacheField name="Description" numFmtId="0">
      <sharedItems containsNonDate="0" containsString="0" containsBlank="1"/>
    </cacheField>
    <cacheField name="Job Billable Status" numFmtId="0">
      <sharedItems containsBlank="1"/>
    </cacheField>
    <cacheField name="Rate per Hour" numFmtId="0">
      <sharedItems containsSemiMixedTypes="0" containsString="0" containsNumber="1" containsInteger="1" minValue="0" maxValue="800"/>
    </cacheField>
    <cacheField name="Job Status" numFmtId="0">
      <sharedItems count="1">
        <s v="In-Progress"/>
      </sharedItems>
    </cacheField>
    <cacheField name="Estimated Hours" numFmtId="49">
      <sharedItems/>
    </cacheField>
    <cacheField name="Total Hours" numFmtId="49">
      <sharedItems/>
    </cacheField>
    <cacheField name="Owner" numFmtId="49">
      <sharedItems/>
    </cacheField>
    <cacheField name="Assigned By" numFmtId="0">
      <sharedItems/>
    </cacheField>
    <cacheField name="Assignee Count" numFmtId="0">
      <sharedItems containsNonDate="0" containsString="0" containsBlank="1"/>
    </cacheField>
    <cacheField name="Last Sync" numFmtId="22">
      <sharedItems containsSemiMixedTypes="0" containsNonDate="0" containsDate="1" containsString="0" minDate="2024-04-25T12:19:41" maxDate="2024-04-25T12:19: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khil Bari" refreshedDate="45412.472608564814" createdVersion="6" refreshedVersion="6" minRefreshableVersion="3" recordCount="39">
  <cacheSource type="worksheet">
    <worksheetSource ref="A1:S40" sheet="LogTime"/>
  </cacheSource>
  <cacheFields count="19">
    <cacheField name="Time log ID" numFmtId="49">
      <sharedItems/>
    </cacheField>
    <cacheField name="Employee emailId" numFmtId="0">
      <sharedItems/>
    </cacheField>
    <cacheField name="Employee firstname" numFmtId="0">
      <sharedItems/>
    </cacheField>
    <cacheField name="Employee lastname" numFmtId="0">
      <sharedItems containsNonDate="0" containsString="0" containsBlank="1"/>
    </cacheField>
    <cacheField name="Job Name" numFmtId="0">
      <sharedItems/>
    </cacheField>
    <cacheField name="Hours" numFmtId="49">
      <sharedItems/>
    </cacheField>
    <cacheField name="Date" numFmtId="15">
      <sharedItems containsSemiMixedTypes="0" containsNonDate="0" containsDate="1" containsString="0" minDate="2024-04-08T00:00:00" maxDate="2024-04-17T00:00:00"/>
    </cacheField>
    <cacheField name="project ID" numFmtId="49">
      <sharedItems/>
    </cacheField>
    <cacheField name="Project Name" numFmtId="0">
      <sharedItems containsBlank="1" count="3">
        <s v="Cafe management and  online food ordering"/>
        <m/>
        <s v="freelance"/>
      </sharedItems>
    </cacheField>
    <cacheField name="Task name" numFmtId="0">
      <sharedItems containsBlank="1"/>
    </cacheField>
    <cacheField name="Description" numFmtId="0">
      <sharedItems containsNonDate="0" containsString="0" containsBlank="1"/>
    </cacheField>
    <cacheField name="Job Active" numFmtId="0">
      <sharedItems/>
    </cacheField>
    <cacheField name="Job Completed (0/1)" numFmtId="0">
      <sharedItems containsSemiMixedTypes="0" containsString="0" containsNumber="1" containsInteger="1" minValue="0" maxValue="0"/>
    </cacheField>
    <cacheField name="Client ID" numFmtId="49">
      <sharedItems/>
    </cacheField>
    <cacheField name="Billing Status" numFmtId="0">
      <sharedItems/>
    </cacheField>
    <cacheField name="Billed Status" numFmtId="0">
      <sharedItems/>
    </cacheField>
    <cacheField name="Approval Status" numFmtId="0">
      <sharedItems/>
    </cacheField>
    <cacheField name="Last Sync" numFmtId="22">
      <sharedItems containsSemiMixedTypes="0" containsNonDate="0" containsDate="1" containsString="0" minDate="2024-04-30T11:20:33" maxDate="2024-04-30T11:20:33"/>
    </cacheField>
    <cacheField name="time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ikhil Bari" refreshedDate="45412.472608680553" createdVersion="6" refreshedVersion="6" minRefreshableVersion="3" recordCount="39">
  <cacheSource type="worksheet">
    <worksheetSource ref="A1:S40" sheet="LogTime"/>
  </cacheSource>
  <cacheFields count="19">
    <cacheField name="Time log ID" numFmtId="49">
      <sharedItems/>
    </cacheField>
    <cacheField name="Employee emailId" numFmtId="0">
      <sharedItems/>
    </cacheField>
    <cacheField name="Employee firstname" numFmtId="0">
      <sharedItems/>
    </cacheField>
    <cacheField name="Employee lastname" numFmtId="0">
      <sharedItems containsNonDate="0" containsString="0" containsBlank="1"/>
    </cacheField>
    <cacheField name="Job Name" numFmtId="0">
      <sharedItems count="5">
        <s v="Requirement Gathering"/>
        <s v="Designing"/>
        <s v="Coding"/>
        <s v="Testing"/>
        <s v="thinking"/>
      </sharedItems>
    </cacheField>
    <cacheField name="Hours" numFmtId="49">
      <sharedItems/>
    </cacheField>
    <cacheField name="Date" numFmtId="15">
      <sharedItems containsSemiMixedTypes="0" containsNonDate="0" containsDate="1" containsString="0" minDate="2024-04-08T00:00:00" maxDate="2024-04-17T00:00:00"/>
    </cacheField>
    <cacheField name="project ID" numFmtId="49">
      <sharedItems/>
    </cacheField>
    <cacheField name="Project Name" numFmtId="0">
      <sharedItems containsBlank="1" count="3">
        <s v="Cafe management and  online food ordering"/>
        <m/>
        <s v="freelance"/>
      </sharedItems>
    </cacheField>
    <cacheField name="Task name" numFmtId="0">
      <sharedItems containsBlank="1"/>
    </cacheField>
    <cacheField name="Description" numFmtId="0">
      <sharedItems containsNonDate="0" containsString="0" containsBlank="1"/>
    </cacheField>
    <cacheField name="Job Active" numFmtId="0">
      <sharedItems/>
    </cacheField>
    <cacheField name="Job Completed (0/1)" numFmtId="0">
      <sharedItems containsSemiMixedTypes="0" containsString="0" containsNumber="1" containsInteger="1" minValue="0" maxValue="0"/>
    </cacheField>
    <cacheField name="Client ID" numFmtId="49">
      <sharedItems/>
    </cacheField>
    <cacheField name="Billing Status" numFmtId="0">
      <sharedItems/>
    </cacheField>
    <cacheField name="Billed Status" numFmtId="0">
      <sharedItems/>
    </cacheField>
    <cacheField name="Approval Status" numFmtId="0">
      <sharedItems/>
    </cacheField>
    <cacheField name="Last Sync" numFmtId="22">
      <sharedItems containsSemiMixedTypes="0" containsNonDate="0" containsDate="1" containsString="0" minDate="2024-04-30T11:20:33" maxDate="2024-04-30T11:20:33"/>
    </cacheField>
    <cacheField name="time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ikhil Bari" refreshedDate="45412.472608796299" createdVersion="6" refreshedVersion="6" minRefreshableVersion="3" recordCount="3">
  <cacheSource type="worksheet">
    <worksheetSource ref="A1:A1048576" sheet="Projects"/>
  </cacheSource>
  <cacheFields count="1">
    <cacheField name="Project Id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ikhil Bari" refreshedDate="45412.472608912038" createdVersion="6" refreshedVersion="6" minRefreshableVersion="3" recordCount="3">
  <cacheSource type="worksheet">
    <worksheetSource ref="A1:G4" sheet="Projects"/>
  </cacheSource>
  <cacheFields count="7">
    <cacheField name="Project Id" numFmtId="49">
      <sharedItems containsBlank="1"/>
    </cacheField>
    <cacheField name="Project Name" numFmtId="0">
      <sharedItems containsBlank="1"/>
    </cacheField>
    <cacheField name="Project Cost" numFmtId="0">
      <sharedItems containsString="0" containsBlank="1" containsNumber="1" containsInteger="1" minValue="300000" maxValue="300000"/>
    </cacheField>
    <cacheField name="Client ID" numFmtId="49">
      <sharedItems containsBlank="1"/>
    </cacheField>
    <cacheField name="Client Name" numFmtId="0">
      <sharedItems containsBlank="1"/>
    </cacheField>
    <cacheField name="Status" numFmtId="0">
      <sharedItems containsBlank="1" count="3">
        <s v="In-Progress"/>
        <m/>
        <s v="Completed" u="1"/>
      </sharedItems>
    </cacheField>
    <cacheField name="Owner ID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ikhil Bari" refreshedDate="45412.472609259261" createdVersion="6" refreshedVersion="6" minRefreshableVersion="3" recordCount="16">
  <cacheSource type="worksheet">
    <worksheetSource ref="A1:A1048576" sheet="Clients"/>
  </cacheSource>
  <cacheFields count="1">
    <cacheField name="Client Id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ikhil Bari" refreshedDate="45412.472609375" createdVersion="6" refreshedVersion="6" minRefreshableVersion="3" recordCount="27">
  <cacheSource type="worksheet">
    <worksheetSource ref="A1:G28" sheet="LogTime"/>
  </cacheSource>
  <cacheFields count="7">
    <cacheField name="Time log ID" numFmtId="49">
      <sharedItems/>
    </cacheField>
    <cacheField name="Employee emailId" numFmtId="0">
      <sharedItems/>
    </cacheField>
    <cacheField name="Employee firstname" numFmtId="0">
      <sharedItems/>
    </cacheField>
    <cacheField name="Employee lastname" numFmtId="0">
      <sharedItems containsNonDate="0" containsString="0" containsBlank="1"/>
    </cacheField>
    <cacheField name="Job Name" numFmtId="0">
      <sharedItems count="5">
        <s v="Requirement Gathering"/>
        <s v="Designing"/>
        <s v="Coding"/>
        <s v="Testing"/>
        <s v="thinking"/>
      </sharedItems>
    </cacheField>
    <cacheField name="Hours" numFmtId="49">
      <sharedItems/>
    </cacheField>
    <cacheField name="Date" numFmtId="15">
      <sharedItems containsSemiMixedTypes="0" containsNonDate="0" containsDate="1" containsString="0" minDate="2024-04-08T00:00:00" maxDate="2024-04-17T00:00:00" count="6">
        <d v="2024-04-08T00:00:00"/>
        <d v="2024-04-09T00:00:00"/>
        <d v="2024-04-11T00:00:00"/>
        <d v="2024-04-12T00:00:00"/>
        <d v="2024-04-13T00:00:00"/>
        <d v="2024-04-16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ikhil Bari" refreshedDate="45412.472609490738" createdVersion="6" refreshedVersion="6" minRefreshableVersion="3" recordCount="7">
  <cacheSource type="worksheet">
    <worksheetSource ref="A1:F8" sheet="Jobs"/>
  </cacheSource>
  <cacheFields count="6">
    <cacheField name="Job ID" numFmtId="49">
      <sharedItems/>
    </cacheField>
    <cacheField name="Job name" numFmtId="0">
      <sharedItems/>
    </cacheField>
    <cacheField name="Project ID" numFmtId="49">
      <sharedItems/>
    </cacheField>
    <cacheField name="Project Name" numFmtId="0">
      <sharedItems containsBlank="1" count="3">
        <s v="Cafe management and  online food ordering"/>
        <m/>
        <s v="freelance"/>
      </sharedItems>
    </cacheField>
    <cacheField name="Client ID" numFmtId="49">
      <sharedItems/>
    </cacheField>
    <cacheField name="Clien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Nikhil Bari" refreshedDate="45412.472609606484" createdVersion="6" refreshedVersion="6" minRefreshableVersion="3" recordCount="27">
  <cacheSource type="worksheet">
    <worksheetSource ref="A1:G28" sheet="LogTime"/>
  </cacheSource>
  <cacheFields count="7">
    <cacheField name="Time log ID" numFmtId="49">
      <sharedItems/>
    </cacheField>
    <cacheField name="Employee emailId" numFmtId="0">
      <sharedItems/>
    </cacheField>
    <cacheField name="Employee firstname" numFmtId="0">
      <sharedItems/>
    </cacheField>
    <cacheField name="Employee lastname" numFmtId="0">
      <sharedItems containsNonDate="0" containsString="0" containsBlank="1"/>
    </cacheField>
    <cacheField name="Job Name" numFmtId="0">
      <sharedItems count="5">
        <s v="Requirement Gathering"/>
        <s v="Designing"/>
        <s v="Coding"/>
        <s v="Testing"/>
        <s v="thinking"/>
      </sharedItems>
    </cacheField>
    <cacheField name="Hours" numFmtId="49">
      <sharedItems/>
    </cacheField>
    <cacheField name="Date" numFmtId="15">
      <sharedItems containsSemiMixedTypes="0" containsNonDate="0" containsDate="1" containsString="0" minDate="2024-04-08T00:00:00" maxDate="2024-04-1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Nikhil Bari" refreshedDate="45412.472609722223" createdVersion="6" refreshedVersion="6" minRefreshableVersion="3" recordCount="10">
  <cacheSource type="worksheet">
    <worksheetSource name="Table_NIK_SQLEXPRESS_master_JobDetails"/>
  </cacheSource>
  <cacheFields count="20">
    <cacheField name="Id" numFmtId="0">
      <sharedItems containsSemiMixedTypes="0" containsString="0" containsNumber="1" containsInteger="1" minValue="41" maxValue="50"/>
    </cacheField>
    <cacheField name="JobId" numFmtId="0">
      <sharedItems/>
    </cacheField>
    <cacheField name="JobName" numFmtId="0">
      <sharedItems/>
    </cacheField>
    <cacheField name="Owner" numFmtId="0">
      <sharedItems/>
    </cacheField>
    <cacheField name="JobStatus" numFmtId="0">
      <sharedItems count="2">
        <s v="In-Progress"/>
        <s v="Completed"/>
      </sharedItems>
    </cacheField>
    <cacheField name="Hours" numFmtId="0">
      <sharedItems/>
    </cacheField>
    <cacheField name="AssignedBy" numFmtId="0">
      <sharedItems/>
    </cacheField>
    <cacheField name="ClientId" numFmtId="0">
      <sharedItems/>
    </cacheField>
    <cacheField name="ClientName" numFmtId="0">
      <sharedItems/>
    </cacheField>
    <cacheField name="ToDate" numFmtId="0">
      <sharedItems/>
    </cacheField>
    <cacheField name="Description" numFmtId="0">
      <sharedItems/>
    </cacheField>
    <cacheField name="JobBillableStatus" numFmtId="0">
      <sharedItems/>
    </cacheField>
    <cacheField name="IsDeleteAllowed" numFmtId="0">
      <sharedItems/>
    </cacheField>
    <cacheField name="ProjectHead" numFmtId="0">
      <sharedItems/>
    </cacheField>
    <cacheField name="IsActive" numFmtId="0">
      <sharedItems/>
    </cacheField>
    <cacheField name="FromDate" numFmtId="0">
      <sharedItems/>
    </cacheField>
    <cacheField name="JobColor" numFmtId="0">
      <sharedItems containsSemiMixedTypes="0" containsString="0" containsNumber="1" containsInteger="1" minValue="1" maxValue="1"/>
    </cacheField>
    <cacheField name="RatePerHour" numFmtId="0">
      <sharedItems containsSemiMixedTypes="0" containsString="0" containsNumber="1" containsInteger="1" minValue="0" maxValue="1000"/>
    </cacheField>
    <cacheField name="TotalHours" numFmtId="0">
      <sharedItems/>
    </cacheField>
    <cacheField name="Project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Nikhil Bari" refreshedDate="45412.4726099537" createdVersion="6" refreshedVersion="6" minRefreshableVersion="3" recordCount="10">
  <cacheSource type="worksheet">
    <worksheetSource name="Table_NIK_SQLEXPRESS_master_Jobs"/>
  </cacheSource>
  <cacheFields count="21">
    <cacheField name="Id" numFmtId="0">
      <sharedItems containsSemiMixedTypes="0" containsString="0" containsNumber="1" containsInteger="1" minValue="31" maxValue="40"/>
    </cacheField>
    <cacheField name="JobId" numFmtId="0">
      <sharedItems/>
    </cacheField>
    <cacheField name="JobName" numFmtId="0">
      <sharedItems/>
    </cacheField>
    <cacheField name="Owner" numFmtId="0">
      <sharedItems/>
    </cacheField>
    <cacheField name="JobStatus" numFmtId="0">
      <sharedItems/>
    </cacheField>
    <cacheField name="Hours" numFmtId="0">
      <sharedItems/>
    </cacheField>
    <cacheField name="AssignedBy" numFmtId="0">
      <sharedItems/>
    </cacheField>
    <cacheField name="ClientId" numFmtId="0">
      <sharedItems/>
    </cacheField>
    <cacheField name="ClientName" numFmtId="0">
      <sharedItems/>
    </cacheField>
    <cacheField name="ToDate" numFmtId="0">
      <sharedItems/>
    </cacheField>
    <cacheField name="Description" numFmtId="0">
      <sharedItems/>
    </cacheField>
    <cacheField name="JobBillableStatus" numFmtId="0">
      <sharedItems/>
    </cacheField>
    <cacheField name="IsDeleteAllowed" numFmtId="0">
      <sharedItems/>
    </cacheField>
    <cacheField name="ProjectHead" numFmtId="0">
      <sharedItems/>
    </cacheField>
    <cacheField name="IsActive" numFmtId="0">
      <sharedItems/>
    </cacheField>
    <cacheField name="FromDate" numFmtId="0">
      <sharedItems/>
    </cacheField>
    <cacheField name="JobColor" numFmtId="0">
      <sharedItems containsSemiMixedTypes="0" containsString="0" containsNumber="1" containsInteger="1" minValue="1" maxValue="1"/>
    </cacheField>
    <cacheField name="RatePerHour" numFmtId="0">
      <sharedItems containsSemiMixedTypes="0" containsString="0" containsNumber="1" containsInteger="1" minValue="0" maxValue="1000"/>
    </cacheField>
    <cacheField name="TotalHours" numFmtId="0">
      <sharedItems/>
    </cacheField>
    <cacheField name="ProjectName" numFmtId="0">
      <sharedItems count="5">
        <s v="Logistics website"/>
        <s v="Crypt web"/>
        <s v="Ubisoft Website"/>
        <s v="NFiTii Project"/>
        <s v="Unknown"/>
      </sharedItems>
    </cacheField>
    <cacheField name="Project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Nikhil Bari" refreshedDate="45412.472610069446" createdVersion="6" refreshedVersion="6" minRefreshableVersion="3" recordCount="10">
  <cacheSource type="worksheet">
    <worksheetSource name="Table_NIK_SQLEXPRESS_master_JobDetails"/>
  </cacheSource>
  <cacheFields count="20">
    <cacheField name="Id" numFmtId="0">
      <sharedItems containsSemiMixedTypes="0" containsString="0" containsNumber="1" containsInteger="1" minValue="41" maxValue="50"/>
    </cacheField>
    <cacheField name="JobId" numFmtId="0">
      <sharedItems/>
    </cacheField>
    <cacheField name="JobName" numFmtId="0">
      <sharedItems/>
    </cacheField>
    <cacheField name="Owner" numFmtId="0">
      <sharedItems/>
    </cacheField>
    <cacheField name="JobStatus" numFmtId="0">
      <sharedItems/>
    </cacheField>
    <cacheField name="Hours" numFmtId="0">
      <sharedItems/>
    </cacheField>
    <cacheField name="AssignedBy" numFmtId="0">
      <sharedItems/>
    </cacheField>
    <cacheField name="ClientId" numFmtId="0">
      <sharedItems/>
    </cacheField>
    <cacheField name="ClientName" numFmtId="0">
      <sharedItems count="3">
        <s v="Unknown"/>
        <s v="Prince Housing"/>
        <s v="Prince Technologies"/>
      </sharedItems>
    </cacheField>
    <cacheField name="ToDate" numFmtId="0">
      <sharedItems/>
    </cacheField>
    <cacheField name="Description" numFmtId="0">
      <sharedItems/>
    </cacheField>
    <cacheField name="JobBillableStatus" numFmtId="0">
      <sharedItems/>
    </cacheField>
    <cacheField name="IsDeleteAllowed" numFmtId="0">
      <sharedItems/>
    </cacheField>
    <cacheField name="ProjectHead" numFmtId="0">
      <sharedItems/>
    </cacheField>
    <cacheField name="IsActive" numFmtId="0">
      <sharedItems/>
    </cacheField>
    <cacheField name="FromDate" numFmtId="0">
      <sharedItems/>
    </cacheField>
    <cacheField name="JobColor" numFmtId="0">
      <sharedItems containsSemiMixedTypes="0" containsString="0" containsNumber="1" containsInteger="1" minValue="1" maxValue="1"/>
    </cacheField>
    <cacheField name="RatePerHour" numFmtId="0">
      <sharedItems containsSemiMixedTypes="0" containsString="0" containsNumber="1" containsInteger="1" minValue="0" maxValue="1000"/>
    </cacheField>
    <cacheField name="TotalHours" numFmtId="0">
      <sharedItems/>
    </cacheField>
    <cacheField name="Project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Nikhil Bari" refreshedDate="45412.472610300923" createdVersion="6" refreshedVersion="6" minRefreshableVersion="3" recordCount="15">
  <cacheSource type="worksheet">
    <worksheetSource ref="J1:J1048576" sheet="Project"/>
  </cacheSource>
  <cacheFields count="1">
    <cacheField name="ProjectStatus" numFmtId="0">
      <sharedItems containsBlank="1" containsMixedTypes="1" containsNumber="1" containsInteger="1" minValue="1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refreshedBy="Nikhil Bari" refreshedDate="45412.472610416669" createdVersion="6" refreshedVersion="6" minRefreshableVersion="3" recordCount="10">
  <cacheSource type="worksheet">
    <worksheetSource ref="F1:F1048576" sheet="Client"/>
  </cacheSource>
  <cacheFields count="1">
    <cacheField name="Client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refreshedBy="Nikhil Bari" refreshedDate="45412.472610532408" createdVersion="6" refreshedVersion="6" minRefreshableVersion="3" recordCount="15">
  <cacheSource type="worksheet">
    <worksheetSource ref="A1:A1048576" sheet="Assignees"/>
  </cacheSource>
  <cacheFields count="1">
    <cacheField name="AssigneeId" numFmtId="0">
      <sharedItems containsBlank="1" containsMixedTypes="1" containsNumber="1" containsInteger="1" minValue="12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156802000000258012"/>
    <s v="Coding"/>
    <s v="156802000000253866"/>
    <s v="Cafe management and  online food ordering"/>
    <s v="156802000000253858"/>
    <s v="bari's cafe"/>
    <d v="2024-04-24T00:00:00"/>
    <d v="2024-05-09T00:00:00"/>
    <m/>
    <s v="Billable"/>
    <n v="800"/>
    <x v="0"/>
    <s v="00:00"/>
    <s v=""/>
    <s v="156802000000251001"/>
    <s v="intern.nikhil09 "/>
    <m/>
    <d v="2024-04-25T12:19:41"/>
  </r>
  <r>
    <s v="156802000000253952"/>
    <s v="Designing"/>
    <s v="156802000000253866"/>
    <s v="Cafe management and  online food ordering"/>
    <s v="156802000000253858"/>
    <s v="bari's cafe"/>
    <d v="2024-04-18T00:00:00"/>
    <d v="2024-04-24T00:00:00"/>
    <m/>
    <s v="Billable"/>
    <n v="500"/>
    <x v="0"/>
    <s v="00:00"/>
    <s v=""/>
    <s v="156802000000251001"/>
    <s v="intern.nikhil09 "/>
    <m/>
    <d v="2024-04-25T12:19:41"/>
  </r>
  <r>
    <s v="156802000000265005"/>
    <s v="Testing"/>
    <s v="156802000000253866"/>
    <s v="Cafe management and  online food ordering"/>
    <s v="156802000000253858"/>
    <s v="bari's cafe"/>
    <d v="2024-04-13T00:00:00"/>
    <m/>
    <m/>
    <m/>
    <n v="0"/>
    <x v="0"/>
    <s v="00:00"/>
    <s v=""/>
    <s v="156802000000251001"/>
    <s v="intern.nikhil09 "/>
    <m/>
    <d v="2024-04-25T12:19:41"/>
  </r>
  <r>
    <s v="156802000000264001"/>
    <s v="Testing"/>
    <s v=""/>
    <m/>
    <s v=""/>
    <m/>
    <d v="2024-04-12T00:00:00"/>
    <m/>
    <m/>
    <m/>
    <n v="0"/>
    <x v="0"/>
    <s v="00:00"/>
    <s v=""/>
    <s v="156802000000251001"/>
    <s v="intern.nikhil09 "/>
    <m/>
    <d v="2024-04-25T12:19:41"/>
  </r>
  <r>
    <s v="156802000000253892"/>
    <s v="Requirement Gathering"/>
    <s v="156802000000253866"/>
    <s v="Cafe management and  online food ordering"/>
    <s v="156802000000253858"/>
    <s v="bari's cafe"/>
    <d v="2024-04-08T00:00:00"/>
    <d v="2024-04-12T00:00:00"/>
    <m/>
    <s v="Billable"/>
    <n v="300"/>
    <x v="0"/>
    <s v="00:00"/>
    <s v=""/>
    <s v="156802000000251001"/>
    <s v="intern.nikhil09 "/>
    <m/>
    <d v="2024-04-25T12:19:41"/>
  </r>
  <r>
    <s v="156802000000268013"/>
    <s v="thinking"/>
    <s v="156802000000268003"/>
    <s v="freelance"/>
    <s v=""/>
    <m/>
    <m/>
    <m/>
    <m/>
    <m/>
    <n v="0"/>
    <x v="0"/>
    <s v="00:00"/>
    <s v=""/>
    <s v="156802000000251001"/>
    <s v="intern.nikhil09 "/>
    <m/>
    <d v="2024-04-25T12:19:41"/>
  </r>
  <r>
    <s v="156802000000268037"/>
    <s v="Designing"/>
    <s v="156802000000268003"/>
    <s v="freelance"/>
    <s v=""/>
    <m/>
    <m/>
    <m/>
    <m/>
    <m/>
    <n v="0"/>
    <x v="0"/>
    <s v="00:00"/>
    <s v=""/>
    <s v="156802000000251001"/>
    <s v="intern.nikhil09 "/>
    <m/>
    <d v="2024-04-25T12:19: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9">
  <r>
    <s v="156802000000258048"/>
    <s v="intern.nikhil09@gmail.com"/>
    <s v="intern.nikhil09"/>
    <m/>
    <s v="Requirement Gathering"/>
    <s v="02:00"/>
    <d v="2024-04-08T00:00:00"/>
    <s v="156802000000253866"/>
    <x v="0"/>
    <m/>
    <m/>
    <b v="1"/>
    <n v="0"/>
    <s v="156802000000253858"/>
    <s v="billable"/>
    <s v="not billed"/>
    <s v="notsubmitted"/>
    <d v="2024-04-30T11:20:33"/>
    <n v="2"/>
  </r>
  <r>
    <s v="156802000000258056"/>
    <s v="intern.nikhil09@gmail.com"/>
    <s v="intern.nikhil09"/>
    <m/>
    <s v="Requirement Gathering"/>
    <s v="02:00"/>
    <d v="2024-04-09T00:00:00"/>
    <s v="156802000000253866"/>
    <x v="0"/>
    <m/>
    <m/>
    <b v="1"/>
    <n v="0"/>
    <s v="156802000000253858"/>
    <s v="billable"/>
    <s v="not billed"/>
    <s v="notsubmitted"/>
    <d v="2024-04-30T11:20:33"/>
    <n v="2"/>
  </r>
  <r>
    <s v="156802000000262001"/>
    <s v="intern.nikhil09@gmail.com"/>
    <s v="intern.nikhil09"/>
    <m/>
    <s v="Designing"/>
    <s v="09:00"/>
    <d v="2024-04-11T00:00:00"/>
    <s v="156802000000253866"/>
    <x v="0"/>
    <s v="designing"/>
    <m/>
    <b v="1"/>
    <n v="0"/>
    <s v="156802000000253858"/>
    <s v="billable"/>
    <s v="not billed"/>
    <s v="notsubmitted"/>
    <d v="2024-04-30T11:20:33"/>
    <n v="9"/>
  </r>
  <r>
    <s v="156802000000270001"/>
    <s v="intern.nikhil09@gmail.com"/>
    <s v="intern.nikhil09"/>
    <m/>
    <s v="Coding"/>
    <s v="08:00"/>
    <d v="2024-04-12T00:00:00"/>
    <s v="156802000000253866"/>
    <x v="0"/>
    <m/>
    <m/>
    <b v="1"/>
    <n v="0"/>
    <s v="156802000000253858"/>
    <s v="billable"/>
    <s v="not billed"/>
    <s v="notsubmitted"/>
    <d v="2024-04-30T11:20:33"/>
    <n v="8"/>
  </r>
  <r>
    <s v="156802000000264019"/>
    <s v="intern.nikhil09@gmail.com"/>
    <s v="intern.nikhil09"/>
    <m/>
    <s v="Coding"/>
    <s v="08:00"/>
    <d v="2024-04-12T00:00:00"/>
    <s v="156802000000253866"/>
    <x v="0"/>
    <m/>
    <m/>
    <b v="1"/>
    <n v="0"/>
    <s v="156802000000253858"/>
    <s v="billable"/>
    <s v="not billed"/>
    <s v="notsubmitted"/>
    <d v="2024-04-30T11:20:33"/>
    <n v="8"/>
  </r>
  <r>
    <s v="156802000000264015"/>
    <s v="intern.nikhil09@gmail.com"/>
    <s v="intern.nikhil09"/>
    <m/>
    <s v="Testing"/>
    <s v="10:00"/>
    <d v="2024-04-12T00:00:00"/>
    <s v=""/>
    <x v="1"/>
    <m/>
    <m/>
    <b v="1"/>
    <n v="0"/>
    <s v=""/>
    <s v="billable"/>
    <s v="not billed"/>
    <s v="notsubmitted"/>
    <d v="2024-04-30T11:20:33"/>
    <n v="10"/>
  </r>
  <r>
    <s v="156802000000264011"/>
    <s v="intern.nikhil09@gmail.com"/>
    <s v="intern.nikhil09"/>
    <m/>
    <s v="Testing"/>
    <s v="05:00"/>
    <d v="2024-04-12T00:00:00"/>
    <s v=""/>
    <x v="1"/>
    <m/>
    <m/>
    <b v="1"/>
    <n v="0"/>
    <s v=""/>
    <s v="billable"/>
    <s v="not billed"/>
    <s v="notsubmitted"/>
    <d v="2024-04-30T11:20:33"/>
    <n v="5"/>
  </r>
  <r>
    <s v="156802000000280021"/>
    <s v="intern.nikhil09@gmail.com"/>
    <s v="intern.nikhil09"/>
    <m/>
    <s v="Test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09"/>
    <s v="intern.nikhil09@gmail.com"/>
    <s v="intern.nikhil09"/>
    <m/>
    <s v="Cod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73"/>
    <s v="intern.nikhil09@gmail.com"/>
    <s v="intern.nikhil09"/>
    <m/>
    <s v="Test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61"/>
    <s v="intern.nikhil09@gmail.com"/>
    <s v="intern.nikhil09"/>
    <m/>
    <s v="Cod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29"/>
    <s v="intern.nikhil09@gmail.com"/>
    <s v="intern.nikhil09"/>
    <m/>
    <s v="Test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17"/>
    <s v="intern.nikhil09@gmail.com"/>
    <s v="intern.nikhil09"/>
    <m/>
    <s v="Coding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65055"/>
    <s v="intern.nikhil09@gmail.com"/>
    <s v="intern.nikhil09"/>
    <m/>
    <s v="Coding"/>
    <s v="44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44"/>
  </r>
  <r>
    <s v="156802000000265051"/>
    <s v="intern.nikhil09@gmail.com"/>
    <s v="intern.nikhil09"/>
    <m/>
    <s v="Designing"/>
    <s v="33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33"/>
  </r>
  <r>
    <s v="156802000000265047"/>
    <s v="intern.nikhil09@gmail.com"/>
    <s v="intern.nikhil09"/>
    <m/>
    <s v="Testing"/>
    <s v="22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2"/>
  </r>
  <r>
    <s v="156802000000265043"/>
    <s v="intern.nikhil09@gmail.com"/>
    <s v="intern.nikhil09"/>
    <m/>
    <s v="Coding"/>
    <s v="1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1"/>
  </r>
  <r>
    <s v="156802000000265039"/>
    <s v="intern.nikhil09@gmail.com"/>
    <s v="intern.nikhil09"/>
    <m/>
    <s v="Coding"/>
    <s v="5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50"/>
  </r>
  <r>
    <s v="156802000000265035"/>
    <s v="intern.nikhil09@gmail.com"/>
    <s v="intern.nikhil09"/>
    <m/>
    <s v="Designing"/>
    <s v="1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0"/>
  </r>
  <r>
    <s v="156802000000265031"/>
    <s v="intern.nikhil09@gmail.com"/>
    <s v="intern.nikhil09"/>
    <m/>
    <s v="Testing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27"/>
    <s v="intern.nikhil09@gmail.com"/>
    <s v="intern.nikhil09"/>
    <m/>
    <s v="Coding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23"/>
    <s v="intern.nikhil09@gmail.com"/>
    <s v="intern.nikhil09"/>
    <m/>
    <s v="Coding"/>
    <s v="5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50"/>
  </r>
  <r>
    <s v="156802000000265019"/>
    <s v="intern.nikhil09@gmail.com"/>
    <s v="intern.nikhil09"/>
    <m/>
    <s v="Designing"/>
    <s v="1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0"/>
  </r>
  <r>
    <s v="156802000000265015"/>
    <s v="intern.nikhil09@gmail.com"/>
    <s v="intern.nikhil09"/>
    <m/>
    <s v="Testing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01"/>
    <s v="intern.nikhil09@gmail.com"/>
    <s v="intern.nikhil09"/>
    <m/>
    <s v="Coding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80041"/>
    <s v="intern.nikhil09@gmail.com"/>
    <s v="intern.nikhil09"/>
    <m/>
    <s v="thinking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80033"/>
    <s v="intern.nikhil09@gmail.com"/>
    <s v="intern.nikhil09"/>
    <m/>
    <s v="Designing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80025"/>
    <s v="intern.nikhil09@gmail.com"/>
    <s v="intern.nikhil09"/>
    <m/>
    <s v="Test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13"/>
    <s v="intern.nikhil09@gmail.com"/>
    <s v="intern.nikhil09"/>
    <m/>
    <s v="Cod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01"/>
    <s v="intern.nikhil09@gmail.com"/>
    <s v="intern.nikhil09"/>
    <m/>
    <s v="Design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97"/>
    <s v="intern.nikhil09@gmail.com"/>
    <s v="intern.nikhil09"/>
    <m/>
    <s v="Designing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78089"/>
    <s v="intern.nikhil09@gmail.com"/>
    <s v="intern.nikhil09"/>
    <m/>
    <s v="thinking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78077"/>
    <s v="intern.nikhil09@gmail.com"/>
    <s v="intern.nikhil09"/>
    <m/>
    <s v="Test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65"/>
    <s v="intern.nikhil09@gmail.com"/>
    <s v="intern.nikhil09"/>
    <m/>
    <s v="Cod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57"/>
    <s v="intern.nikhil09@gmail.com"/>
    <s v="intern.nikhil09"/>
    <m/>
    <s v="Design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49"/>
    <s v="intern.nikhil09@gmail.com"/>
    <s v="intern.nikhil09"/>
    <m/>
    <s v="Designing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78041"/>
    <s v="intern.nikhil09@gmail.com"/>
    <s v="intern.nikhil09"/>
    <m/>
    <s v="thinking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78033"/>
    <s v="intern.nikhil09@gmail.com"/>
    <s v="intern.nikhil09"/>
    <m/>
    <s v="Test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21"/>
    <s v="intern.nikhil09@gmail.com"/>
    <s v="intern.nikhil09"/>
    <m/>
    <s v="Coding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9">
  <r>
    <s v="156802000000258048"/>
    <s v="intern.nikhil09@gmail.com"/>
    <s v="intern.nikhil09"/>
    <m/>
    <x v="0"/>
    <s v="02:00"/>
    <d v="2024-04-08T00:00:00"/>
    <s v="156802000000253866"/>
    <x v="0"/>
    <m/>
    <m/>
    <b v="1"/>
    <n v="0"/>
    <s v="156802000000253858"/>
    <s v="billable"/>
    <s v="not billed"/>
    <s v="notsubmitted"/>
    <d v="2024-04-30T11:20:33"/>
    <n v="2"/>
  </r>
  <r>
    <s v="156802000000258056"/>
    <s v="intern.nikhil09@gmail.com"/>
    <s v="intern.nikhil09"/>
    <m/>
    <x v="0"/>
    <s v="02:00"/>
    <d v="2024-04-09T00:00:00"/>
    <s v="156802000000253866"/>
    <x v="0"/>
    <m/>
    <m/>
    <b v="1"/>
    <n v="0"/>
    <s v="156802000000253858"/>
    <s v="billable"/>
    <s v="not billed"/>
    <s v="notsubmitted"/>
    <d v="2024-04-30T11:20:33"/>
    <n v="2"/>
  </r>
  <r>
    <s v="156802000000262001"/>
    <s v="intern.nikhil09@gmail.com"/>
    <s v="intern.nikhil09"/>
    <m/>
    <x v="1"/>
    <s v="09:00"/>
    <d v="2024-04-11T00:00:00"/>
    <s v="156802000000253866"/>
    <x v="0"/>
    <s v="designing"/>
    <m/>
    <b v="1"/>
    <n v="0"/>
    <s v="156802000000253858"/>
    <s v="billable"/>
    <s v="not billed"/>
    <s v="notsubmitted"/>
    <d v="2024-04-30T11:20:33"/>
    <n v="9"/>
  </r>
  <r>
    <s v="156802000000270001"/>
    <s v="intern.nikhil09@gmail.com"/>
    <s v="intern.nikhil09"/>
    <m/>
    <x v="2"/>
    <s v="08:00"/>
    <d v="2024-04-12T00:00:00"/>
    <s v="156802000000253866"/>
    <x v="0"/>
    <m/>
    <m/>
    <b v="1"/>
    <n v="0"/>
    <s v="156802000000253858"/>
    <s v="billable"/>
    <s v="not billed"/>
    <s v="notsubmitted"/>
    <d v="2024-04-30T11:20:33"/>
    <n v="8"/>
  </r>
  <r>
    <s v="156802000000264019"/>
    <s v="intern.nikhil09@gmail.com"/>
    <s v="intern.nikhil09"/>
    <m/>
    <x v="2"/>
    <s v="08:00"/>
    <d v="2024-04-12T00:00:00"/>
    <s v="156802000000253866"/>
    <x v="0"/>
    <m/>
    <m/>
    <b v="1"/>
    <n v="0"/>
    <s v="156802000000253858"/>
    <s v="billable"/>
    <s v="not billed"/>
    <s v="notsubmitted"/>
    <d v="2024-04-30T11:20:33"/>
    <n v="8"/>
  </r>
  <r>
    <s v="156802000000264015"/>
    <s v="intern.nikhil09@gmail.com"/>
    <s v="intern.nikhil09"/>
    <m/>
    <x v="3"/>
    <s v="10:00"/>
    <d v="2024-04-12T00:00:00"/>
    <s v=""/>
    <x v="1"/>
    <m/>
    <m/>
    <b v="1"/>
    <n v="0"/>
    <s v=""/>
    <s v="billable"/>
    <s v="not billed"/>
    <s v="notsubmitted"/>
    <d v="2024-04-30T11:20:33"/>
    <n v="10"/>
  </r>
  <r>
    <s v="156802000000264011"/>
    <s v="intern.nikhil09@gmail.com"/>
    <s v="intern.nikhil09"/>
    <m/>
    <x v="3"/>
    <s v="05:00"/>
    <d v="2024-04-12T00:00:00"/>
    <s v=""/>
    <x v="1"/>
    <m/>
    <m/>
    <b v="1"/>
    <n v="0"/>
    <s v=""/>
    <s v="billable"/>
    <s v="not billed"/>
    <s v="notsubmitted"/>
    <d v="2024-04-30T11:20:33"/>
    <n v="5"/>
  </r>
  <r>
    <s v="156802000000280021"/>
    <s v="intern.nikhil09@gmail.com"/>
    <s v="intern.nikhil09"/>
    <m/>
    <x v="3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09"/>
    <s v="intern.nikhil09@gmail.com"/>
    <s v="intern.nikhil09"/>
    <m/>
    <x v="2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73"/>
    <s v="intern.nikhil09@gmail.com"/>
    <s v="intern.nikhil09"/>
    <m/>
    <x v="3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61"/>
    <s v="intern.nikhil09@gmail.com"/>
    <s v="intern.nikhil09"/>
    <m/>
    <x v="2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29"/>
    <s v="intern.nikhil09@gmail.com"/>
    <s v="intern.nikhil09"/>
    <m/>
    <x v="3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17"/>
    <s v="intern.nikhil09@gmail.com"/>
    <s v="intern.nikhil09"/>
    <m/>
    <x v="2"/>
    <s v="0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65055"/>
    <s v="intern.nikhil09@gmail.com"/>
    <s v="intern.nikhil09"/>
    <m/>
    <x v="2"/>
    <s v="44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44"/>
  </r>
  <r>
    <s v="156802000000265051"/>
    <s v="intern.nikhil09@gmail.com"/>
    <s v="intern.nikhil09"/>
    <m/>
    <x v="1"/>
    <s v="33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33"/>
  </r>
  <r>
    <s v="156802000000265047"/>
    <s v="intern.nikhil09@gmail.com"/>
    <s v="intern.nikhil09"/>
    <m/>
    <x v="3"/>
    <s v="22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2"/>
  </r>
  <r>
    <s v="156802000000265043"/>
    <s v="intern.nikhil09@gmail.com"/>
    <s v="intern.nikhil09"/>
    <m/>
    <x v="2"/>
    <s v="11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1"/>
  </r>
  <r>
    <s v="156802000000265039"/>
    <s v="intern.nikhil09@gmail.com"/>
    <s v="intern.nikhil09"/>
    <m/>
    <x v="2"/>
    <s v="5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50"/>
  </r>
  <r>
    <s v="156802000000265035"/>
    <s v="intern.nikhil09@gmail.com"/>
    <s v="intern.nikhil09"/>
    <m/>
    <x v="1"/>
    <s v="1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0"/>
  </r>
  <r>
    <s v="156802000000265031"/>
    <s v="intern.nikhil09@gmail.com"/>
    <s v="intern.nikhil09"/>
    <m/>
    <x v="3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27"/>
    <s v="intern.nikhil09@gmail.com"/>
    <s v="intern.nikhil09"/>
    <m/>
    <x v="2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23"/>
    <s v="intern.nikhil09@gmail.com"/>
    <s v="intern.nikhil09"/>
    <m/>
    <x v="2"/>
    <s v="5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50"/>
  </r>
  <r>
    <s v="156802000000265019"/>
    <s v="intern.nikhil09@gmail.com"/>
    <s v="intern.nikhil09"/>
    <m/>
    <x v="1"/>
    <s v="1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10"/>
  </r>
  <r>
    <s v="156802000000265015"/>
    <s v="intern.nikhil09@gmail.com"/>
    <s v="intern.nikhil09"/>
    <m/>
    <x v="3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65001"/>
    <s v="intern.nikhil09@gmail.com"/>
    <s v="intern.nikhil09"/>
    <m/>
    <x v="2"/>
    <s v="20:00"/>
    <d v="2024-04-13T00:00:00"/>
    <s v="156802000000253866"/>
    <x v="0"/>
    <m/>
    <m/>
    <b v="1"/>
    <n v="0"/>
    <s v="156802000000253858"/>
    <s v="billable"/>
    <s v="not billed"/>
    <s v="notsubmitted"/>
    <d v="2024-04-30T11:20:33"/>
    <n v="20"/>
  </r>
  <r>
    <s v="156802000000280041"/>
    <s v="intern.nikhil09@gmail.com"/>
    <s v="intern.nikhil09"/>
    <m/>
    <x v="4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80033"/>
    <s v="intern.nikhil09@gmail.com"/>
    <s v="intern.nikhil09"/>
    <m/>
    <x v="1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80025"/>
    <s v="intern.nikhil09@gmail.com"/>
    <s v="intern.nikhil09"/>
    <m/>
    <x v="3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13"/>
    <s v="intern.nikhil09@gmail.com"/>
    <s v="intern.nikhil09"/>
    <m/>
    <x v="2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80001"/>
    <s v="intern.nikhil09@gmail.com"/>
    <s v="intern.nikhil09"/>
    <m/>
    <x v="1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97"/>
    <s v="intern.nikhil09@gmail.com"/>
    <s v="intern.nikhil09"/>
    <m/>
    <x v="1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78089"/>
    <s v="intern.nikhil09@gmail.com"/>
    <s v="intern.nikhil09"/>
    <m/>
    <x v="4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78077"/>
    <s v="intern.nikhil09@gmail.com"/>
    <s v="intern.nikhil09"/>
    <m/>
    <x v="3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65"/>
    <s v="intern.nikhil09@gmail.com"/>
    <s v="intern.nikhil09"/>
    <m/>
    <x v="2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57"/>
    <s v="intern.nikhil09@gmail.com"/>
    <s v="intern.nikhil09"/>
    <m/>
    <x v="1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49"/>
    <s v="intern.nikhil09@gmail.com"/>
    <s v="intern.nikhil09"/>
    <m/>
    <x v="1"/>
    <s v="01:00"/>
    <d v="2024-04-16T00:00:00"/>
    <s v="156802000000268003"/>
    <x v="2"/>
    <m/>
    <m/>
    <b v="1"/>
    <n v="0"/>
    <s v=""/>
    <s v="billable"/>
    <s v="not billed"/>
    <s v="notsubmitted"/>
    <d v="2024-04-30T11:20:33"/>
    <n v="1"/>
  </r>
  <r>
    <s v="156802000000278041"/>
    <s v="intern.nikhil09@gmail.com"/>
    <s v="intern.nikhil09"/>
    <m/>
    <x v="4"/>
    <s v="02:00"/>
    <d v="2024-04-16T00:00:00"/>
    <s v="156802000000268003"/>
    <x v="2"/>
    <m/>
    <m/>
    <b v="1"/>
    <n v="0"/>
    <s v=""/>
    <s v="billable"/>
    <s v="not billed"/>
    <s v="notsubmitted"/>
    <d v="2024-04-30T11:20:33"/>
    <n v="2"/>
  </r>
  <r>
    <s v="156802000000278033"/>
    <s v="intern.nikhil09@gmail.com"/>
    <s v="intern.nikhil09"/>
    <m/>
    <x v="3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  <r>
    <s v="156802000000278021"/>
    <s v="intern.nikhil09@gmail.com"/>
    <s v="intern.nikhil09"/>
    <m/>
    <x v="2"/>
    <s v="01:00"/>
    <d v="2024-04-16T00:00:00"/>
    <s v="156802000000253866"/>
    <x v="0"/>
    <m/>
    <m/>
    <b v="1"/>
    <n v="0"/>
    <s v="156802000000253858"/>
    <s v="billable"/>
    <s v="not billed"/>
    <s v="notsubmitted"/>
    <d v="2024-04-30T11:20:33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">
  <r>
    <s v="156802000000253866"/>
  </r>
  <r>
    <s v="156802000000268003"/>
  </r>
  <r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">
  <r>
    <s v="156802000000253866"/>
    <s v="Cafe management and  online food ordering"/>
    <n v="300000"/>
    <s v="156802000000253858"/>
    <s v="bari's cafe"/>
    <x v="0"/>
    <s v="156802000000251001"/>
  </r>
  <r>
    <s v="156802000000268003"/>
    <s v="freelance"/>
    <m/>
    <s v=""/>
    <m/>
    <x v="0"/>
    <s v="156802000000251001"/>
  </r>
  <r>
    <m/>
    <m/>
    <m/>
    <m/>
    <m/>
    <x v="1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6">
  <r>
    <s v="156802000000253858"/>
  </r>
  <r>
    <s v="156802000000259003"/>
  </r>
  <r>
    <s v="156802000000259007"/>
  </r>
  <r>
    <m/>
  </r>
  <r>
    <m/>
  </r>
  <r>
    <m/>
  </r>
  <r>
    <m/>
  </r>
  <r>
    <m/>
  </r>
  <r>
    <m/>
  </r>
  <r>
    <m/>
  </r>
  <r>
    <m/>
  </r>
  <r>
    <m/>
  </r>
  <r>
    <m/>
  </r>
  <r>
    <m/>
  </r>
  <r>
    <m/>
  </r>
  <r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">
  <r>
    <s v="156802000000258048"/>
    <s v="intern.nikhil09@gmail.com"/>
    <s v="intern.nikhil09"/>
    <m/>
    <x v="0"/>
    <s v="02:00"/>
    <x v="0"/>
  </r>
  <r>
    <s v="156802000000258056"/>
    <s v="intern.nikhil09@gmail.com"/>
    <s v="intern.nikhil09"/>
    <m/>
    <x v="0"/>
    <s v="02:00"/>
    <x v="1"/>
  </r>
  <r>
    <s v="156802000000262001"/>
    <s v="intern.nikhil09@gmail.com"/>
    <s v="intern.nikhil09"/>
    <m/>
    <x v="1"/>
    <s v="09:00"/>
    <x v="2"/>
  </r>
  <r>
    <s v="156802000000270001"/>
    <s v="intern.nikhil09@gmail.com"/>
    <s v="intern.nikhil09"/>
    <m/>
    <x v="2"/>
    <s v="08:00"/>
    <x v="3"/>
  </r>
  <r>
    <s v="156802000000264019"/>
    <s v="intern.nikhil09@gmail.com"/>
    <s v="intern.nikhil09"/>
    <m/>
    <x v="2"/>
    <s v="08:00"/>
    <x v="3"/>
  </r>
  <r>
    <s v="156802000000264015"/>
    <s v="intern.nikhil09@gmail.com"/>
    <s v="intern.nikhil09"/>
    <m/>
    <x v="3"/>
    <s v="10:00"/>
    <x v="3"/>
  </r>
  <r>
    <s v="156802000000264011"/>
    <s v="intern.nikhil09@gmail.com"/>
    <s v="intern.nikhil09"/>
    <m/>
    <x v="3"/>
    <s v="05:00"/>
    <x v="3"/>
  </r>
  <r>
    <s v="156802000000280021"/>
    <s v="intern.nikhil09@gmail.com"/>
    <s v="intern.nikhil09"/>
    <m/>
    <x v="3"/>
    <s v="01:00"/>
    <x v="4"/>
  </r>
  <r>
    <s v="156802000000280009"/>
    <s v="intern.nikhil09@gmail.com"/>
    <s v="intern.nikhil09"/>
    <m/>
    <x v="2"/>
    <s v="01:00"/>
    <x v="4"/>
  </r>
  <r>
    <s v="156802000000278073"/>
    <s v="intern.nikhil09@gmail.com"/>
    <s v="intern.nikhil09"/>
    <m/>
    <x v="3"/>
    <s v="01:00"/>
    <x v="4"/>
  </r>
  <r>
    <s v="156802000000278061"/>
    <s v="intern.nikhil09@gmail.com"/>
    <s v="intern.nikhil09"/>
    <m/>
    <x v="2"/>
    <s v="01:00"/>
    <x v="4"/>
  </r>
  <r>
    <s v="156802000000278029"/>
    <s v="intern.nikhil09@gmail.com"/>
    <s v="intern.nikhil09"/>
    <m/>
    <x v="3"/>
    <s v="01:00"/>
    <x v="4"/>
  </r>
  <r>
    <s v="156802000000278017"/>
    <s v="intern.nikhil09@gmail.com"/>
    <s v="intern.nikhil09"/>
    <m/>
    <x v="2"/>
    <s v="01:00"/>
    <x v="4"/>
  </r>
  <r>
    <s v="156802000000265055"/>
    <s v="intern.nikhil09@gmail.com"/>
    <s v="intern.nikhil09"/>
    <m/>
    <x v="2"/>
    <s v="44:00"/>
    <x v="4"/>
  </r>
  <r>
    <s v="156802000000265051"/>
    <s v="intern.nikhil09@gmail.com"/>
    <s v="intern.nikhil09"/>
    <m/>
    <x v="1"/>
    <s v="33:00"/>
    <x v="4"/>
  </r>
  <r>
    <s v="156802000000265047"/>
    <s v="intern.nikhil09@gmail.com"/>
    <s v="intern.nikhil09"/>
    <m/>
    <x v="3"/>
    <s v="22:00"/>
    <x v="4"/>
  </r>
  <r>
    <s v="156802000000265043"/>
    <s v="intern.nikhil09@gmail.com"/>
    <s v="intern.nikhil09"/>
    <m/>
    <x v="2"/>
    <s v="11:00"/>
    <x v="4"/>
  </r>
  <r>
    <s v="156802000000265039"/>
    <s v="intern.nikhil09@gmail.com"/>
    <s v="intern.nikhil09"/>
    <m/>
    <x v="2"/>
    <s v="50:00"/>
    <x v="4"/>
  </r>
  <r>
    <s v="156802000000265035"/>
    <s v="intern.nikhil09@gmail.com"/>
    <s v="intern.nikhil09"/>
    <m/>
    <x v="1"/>
    <s v="10:00"/>
    <x v="4"/>
  </r>
  <r>
    <s v="156802000000265031"/>
    <s v="intern.nikhil09@gmail.com"/>
    <s v="intern.nikhil09"/>
    <m/>
    <x v="3"/>
    <s v="20:00"/>
    <x v="4"/>
  </r>
  <r>
    <s v="156802000000265027"/>
    <s v="intern.nikhil09@gmail.com"/>
    <s v="intern.nikhil09"/>
    <m/>
    <x v="2"/>
    <s v="20:00"/>
    <x v="4"/>
  </r>
  <r>
    <s v="156802000000265023"/>
    <s v="intern.nikhil09@gmail.com"/>
    <s v="intern.nikhil09"/>
    <m/>
    <x v="2"/>
    <s v="50:00"/>
    <x v="4"/>
  </r>
  <r>
    <s v="156802000000265019"/>
    <s v="intern.nikhil09@gmail.com"/>
    <s v="intern.nikhil09"/>
    <m/>
    <x v="1"/>
    <s v="10:00"/>
    <x v="4"/>
  </r>
  <r>
    <s v="156802000000265015"/>
    <s v="intern.nikhil09@gmail.com"/>
    <s v="intern.nikhil09"/>
    <m/>
    <x v="3"/>
    <s v="20:00"/>
    <x v="4"/>
  </r>
  <r>
    <s v="156802000000265001"/>
    <s v="intern.nikhil09@gmail.com"/>
    <s v="intern.nikhil09"/>
    <m/>
    <x v="2"/>
    <s v="20:00"/>
    <x v="4"/>
  </r>
  <r>
    <s v="156802000000280041"/>
    <s v="intern.nikhil09@gmail.com"/>
    <s v="intern.nikhil09"/>
    <m/>
    <x v="4"/>
    <s v="02:00"/>
    <x v="5"/>
  </r>
  <r>
    <s v="156802000000280033"/>
    <s v="intern.nikhil09@gmail.com"/>
    <s v="intern.nikhil09"/>
    <m/>
    <x v="1"/>
    <s v="01:00"/>
    <x v="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">
  <r>
    <s v="156802000000258012"/>
    <s v="Coding"/>
    <s v="156802000000253866"/>
    <x v="0"/>
    <s v="156802000000253858"/>
    <s v="bari's cafe"/>
  </r>
  <r>
    <s v="156802000000253952"/>
    <s v="Designing"/>
    <s v="156802000000253866"/>
    <x v="0"/>
    <s v="156802000000253858"/>
    <s v="bari's cafe"/>
  </r>
  <r>
    <s v="156802000000265005"/>
    <s v="Testing"/>
    <s v="156802000000253866"/>
    <x v="0"/>
    <s v="156802000000253858"/>
    <s v="bari's cafe"/>
  </r>
  <r>
    <s v="156802000000264001"/>
    <s v="Testing"/>
    <s v=""/>
    <x v="1"/>
    <s v=""/>
    <m/>
  </r>
  <r>
    <s v="156802000000253892"/>
    <s v="Requirement Gathering"/>
    <s v="156802000000253866"/>
    <x v="0"/>
    <s v="156802000000253858"/>
    <s v="bari's cafe"/>
  </r>
  <r>
    <s v="156802000000268013"/>
    <s v="thinking"/>
    <s v="156802000000268003"/>
    <x v="2"/>
    <s v=""/>
    <m/>
  </r>
  <r>
    <s v="156802000000268037"/>
    <s v="Designing"/>
    <s v="156802000000268003"/>
    <x v="2"/>
    <s v=""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27">
  <r>
    <s v="156802000000258048"/>
    <s v="intern.nikhil09@gmail.com"/>
    <s v="intern.nikhil09"/>
    <m/>
    <x v="0"/>
    <s v="02:00"/>
    <d v="2024-04-08T00:00:00"/>
  </r>
  <r>
    <s v="156802000000258056"/>
    <s v="intern.nikhil09@gmail.com"/>
    <s v="intern.nikhil09"/>
    <m/>
    <x v="0"/>
    <s v="02:00"/>
    <d v="2024-04-09T00:00:00"/>
  </r>
  <r>
    <s v="156802000000262001"/>
    <s v="intern.nikhil09@gmail.com"/>
    <s v="intern.nikhil09"/>
    <m/>
    <x v="1"/>
    <s v="09:00"/>
    <d v="2024-04-11T00:00:00"/>
  </r>
  <r>
    <s v="156802000000270001"/>
    <s v="intern.nikhil09@gmail.com"/>
    <s v="intern.nikhil09"/>
    <m/>
    <x v="2"/>
    <s v="08:00"/>
    <d v="2024-04-12T00:00:00"/>
  </r>
  <r>
    <s v="156802000000264019"/>
    <s v="intern.nikhil09@gmail.com"/>
    <s v="intern.nikhil09"/>
    <m/>
    <x v="2"/>
    <s v="08:00"/>
    <d v="2024-04-12T00:00:00"/>
  </r>
  <r>
    <s v="156802000000264015"/>
    <s v="intern.nikhil09@gmail.com"/>
    <s v="intern.nikhil09"/>
    <m/>
    <x v="3"/>
    <s v="10:00"/>
    <d v="2024-04-12T00:00:00"/>
  </r>
  <r>
    <s v="156802000000264011"/>
    <s v="intern.nikhil09@gmail.com"/>
    <s v="intern.nikhil09"/>
    <m/>
    <x v="3"/>
    <s v="05:00"/>
    <d v="2024-04-12T00:00:00"/>
  </r>
  <r>
    <s v="156802000000280021"/>
    <s v="intern.nikhil09@gmail.com"/>
    <s v="intern.nikhil09"/>
    <m/>
    <x v="3"/>
    <s v="01:00"/>
    <d v="2024-04-13T00:00:00"/>
  </r>
  <r>
    <s v="156802000000280009"/>
    <s v="intern.nikhil09@gmail.com"/>
    <s v="intern.nikhil09"/>
    <m/>
    <x v="2"/>
    <s v="01:00"/>
    <d v="2024-04-13T00:00:00"/>
  </r>
  <r>
    <s v="156802000000278073"/>
    <s v="intern.nikhil09@gmail.com"/>
    <s v="intern.nikhil09"/>
    <m/>
    <x v="3"/>
    <s v="01:00"/>
    <d v="2024-04-13T00:00:00"/>
  </r>
  <r>
    <s v="156802000000278061"/>
    <s v="intern.nikhil09@gmail.com"/>
    <s v="intern.nikhil09"/>
    <m/>
    <x v="2"/>
    <s v="01:00"/>
    <d v="2024-04-13T00:00:00"/>
  </r>
  <r>
    <s v="156802000000278029"/>
    <s v="intern.nikhil09@gmail.com"/>
    <s v="intern.nikhil09"/>
    <m/>
    <x v="3"/>
    <s v="01:00"/>
    <d v="2024-04-13T00:00:00"/>
  </r>
  <r>
    <s v="156802000000278017"/>
    <s v="intern.nikhil09@gmail.com"/>
    <s v="intern.nikhil09"/>
    <m/>
    <x v="2"/>
    <s v="01:00"/>
    <d v="2024-04-13T00:00:00"/>
  </r>
  <r>
    <s v="156802000000265055"/>
    <s v="intern.nikhil09@gmail.com"/>
    <s v="intern.nikhil09"/>
    <m/>
    <x v="2"/>
    <s v="44:00"/>
    <d v="2024-04-13T00:00:00"/>
  </r>
  <r>
    <s v="156802000000265051"/>
    <s v="intern.nikhil09@gmail.com"/>
    <s v="intern.nikhil09"/>
    <m/>
    <x v="1"/>
    <s v="33:00"/>
    <d v="2024-04-13T00:00:00"/>
  </r>
  <r>
    <s v="156802000000265047"/>
    <s v="intern.nikhil09@gmail.com"/>
    <s v="intern.nikhil09"/>
    <m/>
    <x v="3"/>
    <s v="22:00"/>
    <d v="2024-04-13T00:00:00"/>
  </r>
  <r>
    <s v="156802000000265043"/>
    <s v="intern.nikhil09@gmail.com"/>
    <s v="intern.nikhil09"/>
    <m/>
    <x v="2"/>
    <s v="11:00"/>
    <d v="2024-04-13T00:00:00"/>
  </r>
  <r>
    <s v="156802000000265039"/>
    <s v="intern.nikhil09@gmail.com"/>
    <s v="intern.nikhil09"/>
    <m/>
    <x v="2"/>
    <s v="50:00"/>
    <d v="2024-04-13T00:00:00"/>
  </r>
  <r>
    <s v="156802000000265035"/>
    <s v="intern.nikhil09@gmail.com"/>
    <s v="intern.nikhil09"/>
    <m/>
    <x v="1"/>
    <s v="10:00"/>
    <d v="2024-04-13T00:00:00"/>
  </r>
  <r>
    <s v="156802000000265031"/>
    <s v="intern.nikhil09@gmail.com"/>
    <s v="intern.nikhil09"/>
    <m/>
    <x v="3"/>
    <s v="20:00"/>
    <d v="2024-04-13T00:00:00"/>
  </r>
  <r>
    <s v="156802000000265027"/>
    <s v="intern.nikhil09@gmail.com"/>
    <s v="intern.nikhil09"/>
    <m/>
    <x v="2"/>
    <s v="20:00"/>
    <d v="2024-04-13T00:00:00"/>
  </r>
  <r>
    <s v="156802000000265023"/>
    <s v="intern.nikhil09@gmail.com"/>
    <s v="intern.nikhil09"/>
    <m/>
    <x v="2"/>
    <s v="50:00"/>
    <d v="2024-04-13T00:00:00"/>
  </r>
  <r>
    <s v="156802000000265019"/>
    <s v="intern.nikhil09@gmail.com"/>
    <s v="intern.nikhil09"/>
    <m/>
    <x v="1"/>
    <s v="10:00"/>
    <d v="2024-04-13T00:00:00"/>
  </r>
  <r>
    <s v="156802000000265015"/>
    <s v="intern.nikhil09@gmail.com"/>
    <s v="intern.nikhil09"/>
    <m/>
    <x v="3"/>
    <s v="20:00"/>
    <d v="2024-04-13T00:00:00"/>
  </r>
  <r>
    <s v="156802000000265001"/>
    <s v="intern.nikhil09@gmail.com"/>
    <s v="intern.nikhil09"/>
    <m/>
    <x v="2"/>
    <s v="20:00"/>
    <d v="2024-04-13T00:00:00"/>
  </r>
  <r>
    <s v="156802000000280041"/>
    <s v="intern.nikhil09@gmail.com"/>
    <s v="intern.nikhil09"/>
    <m/>
    <x v="4"/>
    <s v="02:00"/>
    <d v="2024-04-16T00:00:00"/>
  </r>
  <r>
    <s v="156802000000280033"/>
    <s v="intern.nikhil09@gmail.com"/>
    <s v="intern.nikhil09"/>
    <m/>
    <x v="1"/>
    <s v="01:00"/>
    <d v="2024-04-16T00:00:0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10">
  <r>
    <n v="41"/>
    <s v="156803000000267087"/>
    <s v="backend testing"/>
    <s v="156803000000251001"/>
    <x v="0"/>
    <s v="00:00"/>
    <s v="Moiz Solkar"/>
    <s v="Unknown"/>
    <s v="Unknown"/>
    <s v="0001-01-01 00:00:00.0000000"/>
    <s v="Unknown"/>
    <s v="Unknown"/>
    <b v="1"/>
    <s v="156803000000251001"/>
    <b v="1"/>
    <s v="2024-04-21 00:00:00.0000000"/>
    <n v="1"/>
    <n v="0"/>
    <s v=""/>
    <s v="Logistics website"/>
  </r>
  <r>
    <n v="42"/>
    <s v="156803000000253396"/>
    <s v="Coding"/>
    <s v="156803000000251001"/>
    <x v="0"/>
    <s v="01:00"/>
    <s v="Moiz Solkar"/>
    <s v="156803000000267027"/>
    <s v="Prince Housing"/>
    <s v="2024-05-30 00:00:00.0000000"/>
    <s v="Coding the main page for the website"/>
    <s v="Billable"/>
    <b v="1"/>
    <s v="156803000000251001"/>
    <b v="1"/>
    <s v="2024-04-08 00:00:00.0000000"/>
    <n v="1"/>
    <n v="500"/>
    <s v=""/>
    <s v="Crypt web"/>
  </r>
  <r>
    <n v="43"/>
    <s v="156803000000269061"/>
    <s v="Coding"/>
    <s v="156803000000251001"/>
    <x v="0"/>
    <s v="00:00"/>
    <s v="Moiz Solkar"/>
    <s v="156803000000253346"/>
    <s v="Prince Technologies"/>
    <s v="2024-04-30 00:00:00.0000000"/>
    <s v="Unknown"/>
    <s v="Unknown"/>
    <b v="1"/>
    <s v="156803000000251001"/>
    <b v="1"/>
    <s v="2024-04-24 00:00:00.0000000"/>
    <n v="1"/>
    <n v="0"/>
    <s v=""/>
    <s v="Ubisoft Website"/>
  </r>
  <r>
    <n v="44"/>
    <s v="156803000000267285"/>
    <s v="Data Analysis"/>
    <s v="156803000000251001"/>
    <x v="0"/>
    <s v="00:00"/>
    <s v="Moiz Solkar"/>
    <s v="156803000000253346"/>
    <s v="Prince Technologies"/>
    <s v="2024-04-30 00:00:00.0000000"/>
    <s v="Data Analysis for Crypto Website"/>
    <s v="Billable"/>
    <b v="1"/>
    <s v="156803000000251001"/>
    <b v="1"/>
    <s v="2024-04-22 00:00:00.0000000"/>
    <n v="1"/>
    <n v="1000"/>
    <s v=""/>
    <s v="NFiTii Project"/>
  </r>
  <r>
    <n v="45"/>
    <s v="156803000000267245"/>
    <s v="Data mining"/>
    <s v="156803000000251001"/>
    <x v="0"/>
    <s v="00:00"/>
    <s v="Moiz Solkar"/>
    <s v="156803000000253346"/>
    <s v="Prince Technologies"/>
    <s v="2024-04-30 00:00:00.0000000"/>
    <s v="Data mining for the NFT project."/>
    <s v="Non-Billable"/>
    <b v="1"/>
    <s v="156803000000251001"/>
    <b v="1"/>
    <s v="2024-04-22 00:00:00.0000000"/>
    <n v="1"/>
    <n v="500"/>
    <s v=""/>
    <s v="NFiTii Project"/>
  </r>
  <r>
    <n v="46"/>
    <s v="156803000000253364"/>
    <s v="Requirement Analysi"/>
    <s v="156803000000251001"/>
    <x v="0"/>
    <s v="04:00"/>
    <s v="Moiz Solkar"/>
    <s v="156803000000253346"/>
    <s v="Prince Technologies"/>
    <s v="2024-04-22 00:00:00.0000000"/>
    <s v="Requirement analysis for nft website"/>
    <s v="Billable"/>
    <b v="1"/>
    <s v="156803000000251001"/>
    <b v="1"/>
    <s v="2024-04-08 00:00:00.0000000"/>
    <n v="1"/>
    <n v="150"/>
    <s v=""/>
    <s v="NFiTii Project"/>
  </r>
  <r>
    <n v="47"/>
    <s v="156803000000267311"/>
    <s v="Software testing"/>
    <s v="156803000000251001"/>
    <x v="0"/>
    <s v="00:00"/>
    <s v="Moiz Solkar"/>
    <s v="Unknown"/>
    <s v="Unknown"/>
    <s v="0001-01-01 00:00:00.0000000"/>
    <s v="Unknown"/>
    <s v="Unknown"/>
    <b v="1"/>
    <s v="Unknown"/>
    <b v="1"/>
    <s v="2024-04-22 00:00:00.0000000"/>
    <n v="1"/>
    <n v="0"/>
    <s v=""/>
    <s v="Unknown"/>
  </r>
  <r>
    <n v="48"/>
    <s v="156803000000267335"/>
    <s v="software testing 12"/>
    <s v="156803000000251001"/>
    <x v="0"/>
    <s v="00:00"/>
    <s v="Moiz Solkar"/>
    <s v="156803000000267027"/>
    <s v="Prince Housing"/>
    <s v="0001-01-01 00:00:00.0000000"/>
    <s v="Unknown"/>
    <s v="Unknown"/>
    <b v="1"/>
    <s v="156803000000251001"/>
    <b v="1"/>
    <s v="2024-04-23 00:00:00.0000000"/>
    <n v="1"/>
    <n v="0"/>
    <s v=""/>
    <s v="Crypt web"/>
  </r>
  <r>
    <n v="49"/>
    <s v="156803000000269021"/>
    <s v="software testing 123"/>
    <s v="156803000000251001"/>
    <x v="0"/>
    <s v="00:00"/>
    <s v="Moiz Solkar"/>
    <s v="156803000000253346"/>
    <s v="Prince Technologies"/>
    <s v="2024-06-28 00:00:00.0000000"/>
    <s v="Sofware Testing for the Ubisoft website"/>
    <s v="Billable"/>
    <b v="1"/>
    <s v="156803000000251001"/>
    <b v="1"/>
    <s v="2024-04-23 00:00:00.0000000"/>
    <n v="1"/>
    <n v="1000"/>
    <s v=""/>
    <s v="Ubisoft Website"/>
  </r>
  <r>
    <n v="50"/>
    <s v="156803000000253420"/>
    <s v="Testing"/>
    <s v="156803000000251001"/>
    <x v="1"/>
    <s v="02:00"/>
    <s v="Moiz Solkar"/>
    <s v="156803000000253346"/>
    <s v="Prince Technologies"/>
    <s v="2024-04-30 00:00:00.0000000"/>
    <s v="Testing the website of the nft project."/>
    <s v="Billable"/>
    <b v="1"/>
    <s v="156803000000251001"/>
    <b v="1"/>
    <s v="2024-04-08 00:00:00.0000000"/>
    <n v="1"/>
    <n v="150"/>
    <s v=""/>
    <s v="NFiTii Project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10">
  <r>
    <n v="31"/>
    <s v="156803000000267087"/>
    <s v="backend testing"/>
    <s v="156803000000251001"/>
    <s v="In-Progress"/>
    <s v="00:00"/>
    <s v="Moiz Solkar"/>
    <s v="Unknown"/>
    <s v="Unknown"/>
    <s v="0001-01-01 00:00:00.0000000"/>
    <s v="Unknown"/>
    <s v="Unknown"/>
    <b v="1"/>
    <s v="156803000000251001"/>
    <b v="1"/>
    <s v="2024-04-21 00:00:00.0000000"/>
    <n v="1"/>
    <n v="0"/>
    <s v=""/>
    <x v="0"/>
    <s v="156803000000262027"/>
  </r>
  <r>
    <n v="32"/>
    <s v="156803000000253396"/>
    <s v="Coding"/>
    <s v="156803000000251001"/>
    <s v="In-Progress"/>
    <s v="01:00"/>
    <s v="Moiz Solkar"/>
    <s v="156803000000267027"/>
    <s v="Prince Housing"/>
    <s v="2024-05-30 00:00:00.0000000"/>
    <s v="Coding the main page for the website"/>
    <s v="Billable"/>
    <b v="1"/>
    <s v="156803000000251001"/>
    <b v="1"/>
    <s v="2024-04-08 00:00:00.0000000"/>
    <n v="1"/>
    <n v="500"/>
    <s v=""/>
    <x v="1"/>
    <s v="156803000000262007"/>
  </r>
  <r>
    <n v="33"/>
    <s v="156803000000269061"/>
    <s v="Coding"/>
    <s v="156803000000251001"/>
    <s v="In-Progress"/>
    <s v="00:00"/>
    <s v="Moiz Solkar"/>
    <s v="156803000000253346"/>
    <s v="Prince Technologies"/>
    <s v="2024-04-30 00:00:00.0000000"/>
    <s v="Unknown"/>
    <s v="Unknown"/>
    <b v="1"/>
    <s v="156803000000251001"/>
    <b v="1"/>
    <s v="2024-04-24 00:00:00.0000000"/>
    <n v="1"/>
    <n v="0"/>
    <s v=""/>
    <x v="2"/>
    <s v="156803000000269001"/>
  </r>
  <r>
    <n v="34"/>
    <s v="156803000000267285"/>
    <s v="Data Analysis"/>
    <s v="156803000000251001"/>
    <s v="In-Progress"/>
    <s v="00:00"/>
    <s v="Moiz Solkar"/>
    <s v="156803000000253346"/>
    <s v="Prince Technologies"/>
    <s v="2024-04-30 00:00:00.0000000"/>
    <s v="Data Analysis for Crypto Website"/>
    <s v="Billable"/>
    <b v="1"/>
    <s v="156803000000251001"/>
    <b v="1"/>
    <s v="2024-04-22 00:00:00.0000000"/>
    <n v="1"/>
    <n v="1000"/>
    <s v=""/>
    <x v="3"/>
    <s v="156803000000253354"/>
  </r>
  <r>
    <n v="35"/>
    <s v="156803000000267245"/>
    <s v="Data mining"/>
    <s v="156803000000251001"/>
    <s v="In-Progress"/>
    <s v="00:00"/>
    <s v="Moiz Solkar"/>
    <s v="156803000000253346"/>
    <s v="Prince Technologies"/>
    <s v="2024-04-30 00:00:00.0000000"/>
    <s v="Data mining for the NFT project."/>
    <s v="Non-Billable"/>
    <b v="1"/>
    <s v="156803000000251001"/>
    <b v="1"/>
    <s v="2024-04-22 00:00:00.0000000"/>
    <n v="1"/>
    <n v="500"/>
    <s v=""/>
    <x v="3"/>
    <s v="156803000000253354"/>
  </r>
  <r>
    <n v="36"/>
    <s v="156803000000253364"/>
    <s v="Requirement Analysi"/>
    <s v="156803000000251001"/>
    <s v="In-Progress"/>
    <s v="04:00"/>
    <s v="Moiz Solkar"/>
    <s v="156803000000253346"/>
    <s v="Prince Technologies"/>
    <s v="2024-04-22 00:00:00.0000000"/>
    <s v="Requirement analysis for nft website"/>
    <s v="Billable"/>
    <b v="1"/>
    <s v="156803000000251001"/>
    <b v="1"/>
    <s v="2024-04-08 00:00:00.0000000"/>
    <n v="1"/>
    <n v="150"/>
    <s v=""/>
    <x v="3"/>
    <s v="156803000000253354"/>
  </r>
  <r>
    <n v="37"/>
    <s v="156803000000267311"/>
    <s v="Software testing"/>
    <s v="156803000000251001"/>
    <s v="In-Progress"/>
    <s v="00:00"/>
    <s v="Moiz Solkar"/>
    <s v="Unknown"/>
    <s v="Unknown"/>
    <s v="0001-01-01 00:00:00.0000000"/>
    <s v="Unknown"/>
    <s v="Unknown"/>
    <b v="1"/>
    <s v="Unknown"/>
    <b v="1"/>
    <s v="2024-04-22 00:00:00.0000000"/>
    <n v="1"/>
    <n v="0"/>
    <s v=""/>
    <x v="4"/>
    <s v="Unknown"/>
  </r>
  <r>
    <n v="38"/>
    <s v="156803000000267335"/>
    <s v="software testing 12"/>
    <s v="156803000000251001"/>
    <s v="In-Progress"/>
    <s v="00:00"/>
    <s v="Moiz Solkar"/>
    <s v="156803000000267027"/>
    <s v="Prince Housing"/>
    <s v="0001-01-01 00:00:00.0000000"/>
    <s v="Unknown"/>
    <s v="Unknown"/>
    <b v="1"/>
    <s v="156803000000251001"/>
    <b v="1"/>
    <s v="2024-04-23 00:00:00.0000000"/>
    <n v="1"/>
    <n v="0"/>
    <s v=""/>
    <x v="1"/>
    <s v="156803000000262007"/>
  </r>
  <r>
    <n v="39"/>
    <s v="156803000000269021"/>
    <s v="software testing 123"/>
    <s v="156803000000251001"/>
    <s v="In-Progress"/>
    <s v="00:00"/>
    <s v="Moiz Solkar"/>
    <s v="156803000000253346"/>
    <s v="Prince Technologies"/>
    <s v="2024-06-28 00:00:00.0000000"/>
    <s v="Sofware Testing for the Ubisoft website"/>
    <s v="Billable"/>
    <b v="1"/>
    <s v="156803000000251001"/>
    <b v="1"/>
    <s v="2024-04-23 00:00:00.0000000"/>
    <n v="1"/>
    <n v="1000"/>
    <s v=""/>
    <x v="2"/>
    <s v="156803000000269001"/>
  </r>
  <r>
    <n v="40"/>
    <s v="156803000000253420"/>
    <s v="Testing"/>
    <s v="156803000000251001"/>
    <s v="Completed"/>
    <s v="02:00"/>
    <s v="Moiz Solkar"/>
    <s v="156803000000253346"/>
    <s v="Prince Technologies"/>
    <s v="2024-04-30 00:00:00.0000000"/>
    <s v="Testing the website of the nft project."/>
    <s v="Billable"/>
    <b v="1"/>
    <s v="156803000000251001"/>
    <b v="1"/>
    <s v="2024-04-08 00:00:00.0000000"/>
    <n v="1"/>
    <n v="150"/>
    <s v=""/>
    <x v="3"/>
    <s v="156803000000253354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0">
  <r>
    <n v="41"/>
    <s v="156803000000267087"/>
    <s v="backend testing"/>
    <s v="156803000000251001"/>
    <s v="In-Progress"/>
    <s v="00:00"/>
    <s v="Moiz Solkar"/>
    <s v="Unknown"/>
    <x v="0"/>
    <s v="0001-01-01 00:00:00.0000000"/>
    <s v="Unknown"/>
    <s v="Unknown"/>
    <b v="1"/>
    <s v="156803000000251001"/>
    <b v="1"/>
    <s v="2024-04-21 00:00:00.0000000"/>
    <n v="1"/>
    <n v="0"/>
    <s v=""/>
    <s v="Logistics website"/>
  </r>
  <r>
    <n v="42"/>
    <s v="156803000000253396"/>
    <s v="Coding"/>
    <s v="156803000000251001"/>
    <s v="In-Progress"/>
    <s v="01:00"/>
    <s v="Moiz Solkar"/>
    <s v="156803000000267027"/>
    <x v="1"/>
    <s v="2024-05-30 00:00:00.0000000"/>
    <s v="Coding the main page for the website"/>
    <s v="Billable"/>
    <b v="1"/>
    <s v="156803000000251001"/>
    <b v="1"/>
    <s v="2024-04-08 00:00:00.0000000"/>
    <n v="1"/>
    <n v="500"/>
    <s v=""/>
    <s v="Crypt web"/>
  </r>
  <r>
    <n v="43"/>
    <s v="156803000000269061"/>
    <s v="Coding"/>
    <s v="156803000000251001"/>
    <s v="In-Progress"/>
    <s v="00:00"/>
    <s v="Moiz Solkar"/>
    <s v="156803000000253346"/>
    <x v="2"/>
    <s v="2024-04-30 00:00:00.0000000"/>
    <s v="Unknown"/>
    <s v="Unknown"/>
    <b v="1"/>
    <s v="156803000000251001"/>
    <b v="1"/>
    <s v="2024-04-24 00:00:00.0000000"/>
    <n v="1"/>
    <n v="0"/>
    <s v=""/>
    <s v="Ubisoft Website"/>
  </r>
  <r>
    <n v="44"/>
    <s v="156803000000267285"/>
    <s v="Data Analysis"/>
    <s v="156803000000251001"/>
    <s v="In-Progress"/>
    <s v="00:00"/>
    <s v="Moiz Solkar"/>
    <s v="156803000000253346"/>
    <x v="2"/>
    <s v="2024-04-30 00:00:00.0000000"/>
    <s v="Data Analysis for Crypto Website"/>
    <s v="Billable"/>
    <b v="1"/>
    <s v="156803000000251001"/>
    <b v="1"/>
    <s v="2024-04-22 00:00:00.0000000"/>
    <n v="1"/>
    <n v="1000"/>
    <s v=""/>
    <s v="NFiTii Project"/>
  </r>
  <r>
    <n v="45"/>
    <s v="156803000000267245"/>
    <s v="Data mining"/>
    <s v="156803000000251001"/>
    <s v="In-Progress"/>
    <s v="00:00"/>
    <s v="Moiz Solkar"/>
    <s v="156803000000253346"/>
    <x v="2"/>
    <s v="2024-04-30 00:00:00.0000000"/>
    <s v="Data mining for the NFT project."/>
    <s v="Non-Billable"/>
    <b v="1"/>
    <s v="156803000000251001"/>
    <b v="1"/>
    <s v="2024-04-22 00:00:00.0000000"/>
    <n v="1"/>
    <n v="500"/>
    <s v=""/>
    <s v="NFiTii Project"/>
  </r>
  <r>
    <n v="46"/>
    <s v="156803000000253364"/>
    <s v="Requirement Analysi"/>
    <s v="156803000000251001"/>
    <s v="In-Progress"/>
    <s v="04:00"/>
    <s v="Moiz Solkar"/>
    <s v="156803000000253346"/>
    <x v="2"/>
    <s v="2024-04-22 00:00:00.0000000"/>
    <s v="Requirement analysis for nft website"/>
    <s v="Billable"/>
    <b v="1"/>
    <s v="156803000000251001"/>
    <b v="1"/>
    <s v="2024-04-08 00:00:00.0000000"/>
    <n v="1"/>
    <n v="150"/>
    <s v=""/>
    <s v="NFiTii Project"/>
  </r>
  <r>
    <n v="47"/>
    <s v="156803000000267311"/>
    <s v="Software testing"/>
    <s v="156803000000251001"/>
    <s v="In-Progress"/>
    <s v="00:00"/>
    <s v="Moiz Solkar"/>
    <s v="Unknown"/>
    <x v="0"/>
    <s v="0001-01-01 00:00:00.0000000"/>
    <s v="Unknown"/>
    <s v="Unknown"/>
    <b v="1"/>
    <s v="Unknown"/>
    <b v="1"/>
    <s v="2024-04-22 00:00:00.0000000"/>
    <n v="1"/>
    <n v="0"/>
    <s v=""/>
    <s v="Unknown"/>
  </r>
  <r>
    <n v="48"/>
    <s v="156803000000267335"/>
    <s v="software testing 12"/>
    <s v="156803000000251001"/>
    <s v="In-Progress"/>
    <s v="00:00"/>
    <s v="Moiz Solkar"/>
    <s v="156803000000267027"/>
    <x v="1"/>
    <s v="0001-01-01 00:00:00.0000000"/>
    <s v="Unknown"/>
    <s v="Unknown"/>
    <b v="1"/>
    <s v="156803000000251001"/>
    <b v="1"/>
    <s v="2024-04-23 00:00:00.0000000"/>
    <n v="1"/>
    <n v="0"/>
    <s v=""/>
    <s v="Crypt web"/>
  </r>
  <r>
    <n v="49"/>
    <s v="156803000000269021"/>
    <s v="software testing 123"/>
    <s v="156803000000251001"/>
    <s v="In-Progress"/>
    <s v="00:00"/>
    <s v="Moiz Solkar"/>
    <s v="156803000000253346"/>
    <x v="2"/>
    <s v="2024-06-28 00:00:00.0000000"/>
    <s v="Sofware Testing for the Ubisoft website"/>
    <s v="Billable"/>
    <b v="1"/>
    <s v="156803000000251001"/>
    <b v="1"/>
    <s v="2024-04-23 00:00:00.0000000"/>
    <n v="1"/>
    <n v="1000"/>
    <s v=""/>
    <s v="Ubisoft Website"/>
  </r>
  <r>
    <n v="50"/>
    <s v="156803000000253420"/>
    <s v="Testing"/>
    <s v="156803000000251001"/>
    <s v="Completed"/>
    <s v="02:00"/>
    <s v="Moiz Solkar"/>
    <s v="156803000000253346"/>
    <x v="2"/>
    <s v="2024-04-30 00:00:00.0000000"/>
    <s v="Testing the website of the nft project."/>
    <s v="Billable"/>
    <b v="1"/>
    <s v="156803000000251001"/>
    <b v="1"/>
    <s v="2024-04-08 00:00:00.0000000"/>
    <n v="1"/>
    <n v="150"/>
    <s v=""/>
    <s v="NFiTii Project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15">
  <r>
    <s v="In-Progress"/>
  </r>
  <r>
    <s v="In-Progress"/>
  </r>
  <r>
    <s v="In-Progress"/>
  </r>
  <r>
    <s v="In-Progress"/>
  </r>
  <r>
    <s v="In-Progress"/>
  </r>
  <r>
    <s v="In-Progress"/>
  </r>
  <r>
    <s v="In-Progress"/>
  </r>
  <r>
    <s v="In-Progress"/>
  </r>
  <r>
    <s v="In-Progress"/>
  </r>
  <r>
    <s v="In-Progress"/>
  </r>
  <r>
    <m/>
  </r>
  <r>
    <m/>
  </r>
  <r>
    <s v="Count of ProjectStatus"/>
  </r>
  <r>
    <n v="12"/>
  </r>
  <r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10">
  <r>
    <s v="Prince Technologies"/>
  </r>
  <r>
    <s v="Prince Housing"/>
  </r>
  <r>
    <s v="alakdjf"/>
  </r>
  <r>
    <s v="Jay Z Interiors"/>
  </r>
  <r>
    <s v="kanye west Enterprise"/>
  </r>
  <r>
    <m/>
  </r>
  <r>
    <m/>
  </r>
  <r>
    <m/>
  </r>
  <r>
    <m/>
  </r>
  <r>
    <m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15">
  <r>
    <n v="32"/>
  </r>
  <r>
    <n v="33"/>
  </r>
  <r>
    <n v="34"/>
  </r>
  <r>
    <n v="35"/>
  </r>
  <r>
    <n v="36"/>
  </r>
  <r>
    <n v="37"/>
  </r>
  <r>
    <n v="38"/>
  </r>
  <r>
    <n v="39"/>
  </r>
  <r>
    <n v="40"/>
  </r>
  <r>
    <n v="41"/>
  </r>
  <r>
    <m/>
  </r>
  <r>
    <m/>
  </r>
  <r>
    <s v="Count of Assignee"/>
  </r>
  <r>
    <n v="12"/>
  </r>
  <r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A169:B171" firstHeaderRow="1" firstDataRow="1" firstDataCol="1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2">
    <i>
      <x v="1"/>
    </i>
    <i>
      <x v="2"/>
    </i>
  </rowItems>
  <colItems count="1">
    <i/>
  </colItems>
  <dataFields count="1">
    <dataField name="Project status" fld="5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3">
  <location ref="A186:B187" firstHeaderRow="1" firstDataRow="1" firstDataCol="1"/>
  <pivotFields count="18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1"/>
  </rowFields>
  <rowItems count="1">
    <i>
      <x/>
    </i>
  </rowItems>
  <colItems count="1">
    <i/>
  </colItems>
  <dataFields count="1">
    <dataField name="Count of Job ID" fld="0" subtotal="count" baseField="0" baseItem="0"/>
  </dataField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6" cacheId="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3">
  <location ref="A48:C55" firstHeaderRow="1" firstDataRow="1" firstDataCol="2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4"/>
  </rowFields>
  <rowItems count="7">
    <i>
      <x/>
      <x/>
    </i>
    <i r="1">
      <x v="1"/>
    </i>
    <i r="1">
      <x v="2"/>
    </i>
    <i r="1">
      <x v="3"/>
    </i>
    <i>
      <x v="1"/>
      <x v="1"/>
    </i>
    <i r="1">
      <x v="4"/>
    </i>
    <i>
      <x v="2"/>
      <x v="3"/>
    </i>
  </rowItems>
  <colItems count="1">
    <i/>
  </colItems>
  <dataFields count="1">
    <dataField name="Sum of time" fld="18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11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8" firstHeaderRow="1" firstDataRow="1" firstDataCol="1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5">
        <item x="2"/>
        <item x="1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Count of Job Name" fld="4" subtotal="count" baseField="0" baseItem="0"/>
  </dataFields>
  <formats count="5"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24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4">
  <location ref="A25:C35" firstHeaderRow="1" firstDataRow="1" firstDataCol="2"/>
  <pivotFields count="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5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6"/>
  </rowFields>
  <rowItems count="10">
    <i>
      <x/>
      <x v="3"/>
    </i>
    <i r="1">
      <x v="4"/>
    </i>
    <i>
      <x v="1"/>
      <x v="2"/>
    </i>
    <i r="1">
      <x v="4"/>
    </i>
    <i r="1">
      <x v="5"/>
    </i>
    <i>
      <x v="2"/>
      <x/>
    </i>
    <i r="1">
      <x v="1"/>
    </i>
    <i>
      <x v="3"/>
      <x v="3"/>
    </i>
    <i r="1">
      <x v="4"/>
    </i>
    <i>
      <x v="4"/>
      <x v="5"/>
    </i>
  </rowItems>
  <colItems count="1">
    <i/>
  </colItems>
  <dataFields count="1">
    <dataField name="Count of Hours" fld="5" subtotal="count" baseField="0" baseItem="0"/>
  </dataFields>
  <chartFormats count="1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3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153:A154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unt of Project" fld="0" subtotal="count" baseField="0" baseItem="0"/>
  </dataFields>
  <chartFormats count="1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9" cacheId="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9">
  <location ref="A102:B105" firstHeaderRow="1" firstDataRow="1" firstDataCol="1"/>
  <pivotFields count="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3">
    <i>
      <x/>
    </i>
    <i>
      <x v="1"/>
    </i>
    <i>
      <x v="2"/>
    </i>
  </rowItems>
  <colItems count="1">
    <i/>
  </colItems>
  <dataFields count="1">
    <dataField name="Count of Job name" fld="1" subtotal="count" baseField="0" baseItem="0"/>
  </dataFields>
  <chartFormats count="2"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8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85:A86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unt of Client Id" fld="0" subtotal="count" baseField="0" baseItem="0"/>
  </dataField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3">
  <location ref="A66:B69" firstHeaderRow="1" firstDataRow="1" firstDataCol="1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3">
    <i>
      <x/>
    </i>
    <i>
      <x v="1"/>
    </i>
    <i>
      <x v="2"/>
    </i>
  </rowItems>
  <colItems count="1">
    <i/>
  </colItems>
  <dataFields count="1">
    <dataField name="Sum of time" fld="18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0.xml><?xml version="1.0" encoding="utf-8"?>
<pivotTableDefinition xmlns="http://schemas.openxmlformats.org/spreadsheetml/2006/main" name="PivotTable4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69:A70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unt of Assignee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3" cacheId="1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K52:K5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unt of Clients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78" cacheId="1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A52:B55" firstHeaderRow="1" firstDataRow="1" firstDataCol="1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8"/>
  </rowFields>
  <rowItems count="3">
    <i>
      <x/>
    </i>
    <i>
      <x v="1"/>
    </i>
    <i>
      <x v="2"/>
    </i>
  </rowItems>
  <colItems count="1">
    <i/>
  </colItems>
  <dataFields count="1">
    <dataField name="Count of JobName" fld="8" subtotal="count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3.xml><?xml version="1.0" encoding="utf-8"?>
<pivotTableDefinition xmlns="http://schemas.openxmlformats.org/spreadsheetml/2006/main" name="PivotTable71" cacheId="1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J35:K40" firstHeaderRow="1" firstDataRow="1" firstDataCol="1"/>
  <pivotFields count="2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5">
        <item x="1"/>
        <item x="0"/>
        <item x="3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9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Count of JobName" fld="19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4.xml><?xml version="1.0" encoding="utf-8"?>
<pivotTableDefinition xmlns="http://schemas.openxmlformats.org/spreadsheetml/2006/main" name="PivotTable39" cacheId="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J18:K20" firstHeaderRow="1" firstDataRow="1" firstDataCol="1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2">
    <i>
      <x/>
    </i>
    <i>
      <x v="1"/>
    </i>
  </rowItems>
  <colItems count="1">
    <i/>
  </colItems>
  <dataFields count="1">
    <dataField name="Count of JobStatus" fld="4" subtotal="count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15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J2:J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unt of ProjectStatus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NIK_SQLEXPRESS master ProjectUsers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mpId" tableColumnId="2"/>
      <queryTableField id="3" name="Erecno" tableColumnId="3"/>
      <queryTableField id="4" name="Rate" tableColumnId="4"/>
      <queryTableField id="5" name="Name" tableColumnId="5"/>
      <queryTableField id="6" name="ProjectId" tableColumnId="6"/>
    </queryTableFields>
  </queryTableRefresh>
</queryTable>
</file>

<file path=xl/queryTables/queryTable2.xml><?xml version="1.0" encoding="utf-8"?>
<queryTable xmlns="http://schemas.openxmlformats.org/spreadsheetml/2006/main" name="NIK_SQLEXPRESS master Projects" connectionId="9" autoFormatId="16" applyNumberFormats="0" applyBorderFormats="0" applyFontFormats="0" applyPatternFormats="0" applyAlignmentFormats="0" applyWidthHeightFormats="0">
  <queryTableRefresh nextId="13">
    <queryTableFields count="12">
      <queryTableField id="1" name="ProjectId" tableColumnId="1"/>
      <queryTableField id="2" name="ProjectName" tableColumnId="2"/>
      <queryTableField id="3" name="ProjectCost" tableColumnId="3"/>
      <queryTableField id="4" name="ClientId" tableColumnId="4"/>
      <queryTableField id="5" name="ClientName" tableColumnId="5"/>
      <queryTableField id="6" name="ProjectStatus" tableColumnId="6"/>
      <queryTableField id="7" name="OwnerId" tableColumnId="7"/>
      <queryTableField id="8" name="OwnerName" tableColumnId="8"/>
      <queryTableField id="9" name="IsDeleteAllowed" tableColumnId="9"/>
      <queryTableField id="10" name="JobCount" tableColumnId="10"/>
      <queryTableField id="11" name="ProjectUsersCount" tableColumnId="11"/>
      <queryTableField id="12" name="HeadId" tableColumnId="12"/>
    </queryTableFields>
  </queryTableRefresh>
</queryTable>
</file>

<file path=xl/queryTables/queryTable3.xml><?xml version="1.0" encoding="utf-8"?>
<queryTable xmlns="http://schemas.openxmlformats.org/spreadsheetml/2006/main" name="NIK_SQLEXPRESS master ProjectManagers" connectionId="8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EmpId" tableColumnId="2"/>
      <queryTableField id="3" name="Erecno" tableColumnId="3"/>
      <queryTableField id="4" name="Rate" tableColumnId="4"/>
      <queryTableField id="5" name="Name" tableColumnId="5"/>
      <queryTableField id="6" name="ProjectId" tableColumnId="6"/>
    </queryTableFields>
  </queryTableRefresh>
</queryTable>
</file>

<file path=xl/queryTables/queryTable4.xml><?xml version="1.0" encoding="utf-8"?>
<queryTable xmlns="http://schemas.openxmlformats.org/spreadsheetml/2006/main" name="NIK_SQLEXPRESS master ProjectHeads" connectionId="7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EmpId" tableColumnId="2"/>
      <queryTableField id="3" name="Erecno" tableColumnId="3"/>
      <queryTableField id="4" name="Rate" tableColumnId="4"/>
      <queryTableField id="5" name="Name" tableColumnId="5"/>
    </queryTableFields>
  </queryTableRefresh>
</queryTable>
</file>

<file path=xl/queryTables/queryTable5.xml><?xml version="1.0" encoding="utf-8"?>
<queryTable xmlns="http://schemas.openxmlformats.org/spreadsheetml/2006/main" name="NIK_SQLEXPRESS master ProjectDepartments" connectionId="6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DeptName" tableColumnId="2"/>
      <queryTableField id="3" name="DeptId" tableColumnId="3"/>
      <queryTableField id="4" name="ProjectId" tableColumnId="4"/>
    </queryTableFields>
  </queryTableRefresh>
</queryTable>
</file>

<file path=xl/queryTables/queryTable6.xml><?xml version="1.0" encoding="utf-8"?>
<queryTable xmlns="http://schemas.openxmlformats.org/spreadsheetml/2006/main" name="NIK_SQLEXPRESS master Jobs" connectionId="5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JobId" tableColumnId="2"/>
      <queryTableField id="3" name="JobName" tableColumnId="3"/>
      <queryTableField id="4" name="Owner" tableColumnId="4"/>
      <queryTableField id="5" name="JobStatus" tableColumnId="5"/>
      <queryTableField id="6" name="Hours" tableColumnId="6"/>
      <queryTableField id="7" name="AssignedBy" tableColumnId="7"/>
      <queryTableField id="8" name="ClientId" tableColumnId="8"/>
      <queryTableField id="9" name="ClientName" tableColumnId="9"/>
      <queryTableField id="10" name="ToDate" tableColumnId="10"/>
      <queryTableField id="11" name="Description" tableColumnId="11"/>
      <queryTableField id="12" name="JobBillableStatus" tableColumnId="12"/>
      <queryTableField id="13" name="IsDeleteAllowed" tableColumnId="13"/>
      <queryTableField id="14" name="ProjectHead" tableColumnId="14"/>
      <queryTableField id="15" name="IsActive" tableColumnId="15"/>
      <queryTableField id="16" name="FromDate" tableColumnId="16"/>
      <queryTableField id="17" name="JobColor" tableColumnId="17"/>
      <queryTableField id="18" name="RatePerHour" tableColumnId="18"/>
      <queryTableField id="19" name="TotalHours" tableColumnId="19"/>
      <queryTableField id="20" name="ProjectName" tableColumnId="20"/>
      <queryTableField id="21" name="ProjectId" tableColumnId="21"/>
    </queryTableFields>
  </queryTableRefresh>
</queryTable>
</file>

<file path=xl/queryTables/queryTable7.xml><?xml version="1.0" encoding="utf-8"?>
<queryTable xmlns="http://schemas.openxmlformats.org/spreadsheetml/2006/main" name="NIK_SQLEXPRESS master JobDetails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Id" tableColumnId="1"/>
      <queryTableField id="2" name="JobId" tableColumnId="2"/>
      <queryTableField id="3" name="JobName" tableColumnId="3"/>
      <queryTableField id="4" name="Owner" tableColumnId="4"/>
      <queryTableField id="5" name="JobStatus" tableColumnId="5"/>
      <queryTableField id="6" name="Hours" tableColumnId="6"/>
      <queryTableField id="7" name="AssignedBy" tableColumnId="7"/>
      <queryTableField id="8" name="ClientId" tableColumnId="8"/>
      <queryTableField id="9" name="ClientName" tableColumnId="9"/>
      <queryTableField id="10" name="ToDate" tableColumnId="10"/>
      <queryTableField id="11" name="Description" tableColumnId="11"/>
      <queryTableField id="12" name="JobBillableStatus" tableColumnId="12"/>
      <queryTableField id="13" name="IsDeleteAllowed" tableColumnId="13"/>
      <queryTableField id="14" name="ProjectHead" tableColumnId="14"/>
      <queryTableField id="15" name="IsActive" tableColumnId="15"/>
      <queryTableField id="16" name="FromDate" tableColumnId="16"/>
      <queryTableField id="17" name="JobColor" tableColumnId="17"/>
      <queryTableField id="18" name="RatePerHour" tableColumnId="18"/>
      <queryTableField id="19" name="TotalHours" tableColumnId="19"/>
      <queryTableField id="20" name="ProjectName" tableColumnId="20"/>
    </queryTableFields>
  </queryTableRefresh>
</queryTable>
</file>

<file path=xl/queryTables/queryTable8.xml><?xml version="1.0" encoding="utf-8"?>
<queryTable xmlns="http://schemas.openxmlformats.org/spreadsheetml/2006/main" name="NIK_SQLEXPRESS master Clients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ClientId" tableColumnId="1"/>
      <queryTableField id="2" name="LastName" tableColumnId="2"/>
      <queryTableField id="3" name="Country" tableColumnId="3"/>
      <queryTableField id="4" name="Pincode" tableColumnId="4"/>
      <queryTableField id="5" name="StreetAddr" tableColumnId="5"/>
      <queryTableField id="6" name="ClientName" tableColumnId="6"/>
      <queryTableField id="7" name="City" tableColumnId="7"/>
      <queryTableField id="8" name="BillingMethod" tableColumnId="8"/>
      <queryTableField id="9" name="Description" tableColumnId="9"/>
      <queryTableField id="10" name="EmailId" tableColumnId="10"/>
      <queryTableField id="11" name="Industry" tableColumnId="11"/>
      <queryTableField id="12" name="MobileNo" tableColumnId="12"/>
      <queryTableField id="13" name="PhoneNo" tableColumnId="13"/>
      <queryTableField id="14" name="FirstName" tableColumnId="14"/>
      <queryTableField id="15" name="FaxNo" tableColumnId="15"/>
      <queryTableField id="16" name="CreatedBy" tableColumnId="16"/>
      <queryTableField id="17" name="Compsize" tableColumnId="17"/>
      <queryTableField id="18" name="ModifiedBy" tableColumnId="18"/>
      <queryTableField id="19" name="State" tableColumnId="19"/>
      <queryTableField id="20" name="CurrencyCode" tableColumnId="20"/>
    </queryTableFields>
  </queryTableRefresh>
</queryTable>
</file>

<file path=xl/queryTables/queryTable9.xml><?xml version="1.0" encoding="utf-8"?>
<queryTable xmlns="http://schemas.openxmlformats.org/spreadsheetml/2006/main" name="NIK_SQLEXPRESS master Assignees" connectionId="2" autoFormatId="16" applyNumberFormats="0" applyBorderFormats="0" applyFontFormats="0" applyPatternFormats="0" applyAlignmentFormats="0" applyWidthHeightFormats="0">
  <queryTableRefresh nextId="9">
    <queryTableFields count="8">
      <queryTableField id="1" name="AssigneeId" tableColumnId="1"/>
      <queryTableField id="2" name="JobId" tableColumnId="2"/>
      <queryTableField id="3" name="EmpId" tableColumnId="3"/>
      <queryTableField id="4" name="Hours" tableColumnId="4"/>
      <queryTableField id="5" name="Erecno" tableColumnId="5"/>
      <queryTableField id="6" name="Rate" tableColumnId="6"/>
      <queryTableField id="7" name="Name" tableColumnId="7"/>
      <queryTableField id="8" name="TotalHours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id="2" name="Table_NIK_SQLEXPRESS_master_ProjectUsers" displayName="Table_NIK_SQLEXPRESS_master_ProjectUsers" ref="A1:F2" tableType="queryTable" insertRow="1" totalsRowShown="0">
  <autoFilter ref="A1:F2"/>
  <tableColumns count="6">
    <tableColumn id="1" uniqueName="1" name="Id" queryTableFieldId="1" dataDxfId="2"/>
    <tableColumn id="2" uniqueName="2" name="EmpId" queryTableFieldId="2" dataDxfId="1"/>
    <tableColumn id="3" uniqueName="3" name="Erecno" queryTableFieldId="3" dataDxfId="0"/>
    <tableColumn id="4" uniqueName="4" name="Rate" queryTableFieldId="4"/>
    <tableColumn id="5" uniqueName="5" name="Name" queryTableFieldId="5"/>
    <tableColumn id="6" uniqueName="6" name="ProjectId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_NIK_SQLEXPRESS_master_Projects" displayName="Table_NIK_SQLEXPRESS_master_Projects" ref="A1:L11" tableType="queryTable" totalsRowShown="0">
  <autoFilter ref="A1:L11"/>
  <tableColumns count="12">
    <tableColumn id="1" uniqueName="1" name="ProjectId" queryTableFieldId="1"/>
    <tableColumn id="2" uniqueName="2" name="ProjectName" queryTableFieldId="2"/>
    <tableColumn id="3" uniqueName="3" name="ProjectCost" queryTableFieldId="3"/>
    <tableColumn id="4" uniqueName="4" name="ClientId" queryTableFieldId="4"/>
    <tableColumn id="5" uniqueName="5" name="ClientName" queryTableFieldId="5"/>
    <tableColumn id="6" uniqueName="6" name="ProjectStatus" queryTableFieldId="6"/>
    <tableColumn id="7" uniqueName="7" name="OwnerId" queryTableFieldId="7"/>
    <tableColumn id="8" uniqueName="8" name="OwnerName" queryTableFieldId="8"/>
    <tableColumn id="9" uniqueName="9" name="IsDeleteAllowed" queryTableFieldId="9"/>
    <tableColumn id="10" uniqueName="10" name="JobCount" queryTableFieldId="10"/>
    <tableColumn id="11" uniqueName="11" name="ProjectUsersCount" queryTableFieldId="11"/>
    <tableColumn id="12" uniqueName="12" name="HeadId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NIK_SQLEXPRESS_master_ProjectManagers" displayName="Table_NIK_SQLEXPRESS_master_ProjectManagers" ref="A1:F2" tableType="queryTable" insertRow="1" totalsRowShown="0">
  <autoFilter ref="A1:F2"/>
  <tableColumns count="6">
    <tableColumn id="1" uniqueName="1" name="Id" queryTableFieldId="1"/>
    <tableColumn id="2" uniqueName="2" name="EmpId" queryTableFieldId="2"/>
    <tableColumn id="3" uniqueName="3" name="Erecno" queryTableFieldId="3"/>
    <tableColumn id="4" uniqueName="4" name="Rate" queryTableFieldId="4"/>
    <tableColumn id="5" uniqueName="5" name="Name" queryTableFieldId="5"/>
    <tableColumn id="6" uniqueName="6" name="ProjectId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NIK_SQLEXPRESS_master_ProjectHeads" displayName="Table_NIK_SQLEXPRESS_master_ProjectHeads" ref="A1:E11" tableType="queryTable" totalsRowShown="0">
  <autoFilter ref="A1:E11"/>
  <tableColumns count="5">
    <tableColumn id="1" uniqueName="1" name="Id" queryTableFieldId="1"/>
    <tableColumn id="2" uniqueName="2" name="EmpId" queryTableFieldId="2"/>
    <tableColumn id="3" uniqueName="3" name="Erecno" queryTableFieldId="3"/>
    <tableColumn id="4" uniqueName="4" name="Rate" queryTableFieldId="4"/>
    <tableColumn id="5" uniqueName="5" name="Name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_NIK_SQLEXPRESS_master_ProjectDepartments" displayName="Table_NIK_SQLEXPRESS_master_ProjectDepartments" ref="A1:D2" tableType="queryTable" insertRow="1" totalsRowShown="0">
  <autoFilter ref="A1:D2"/>
  <tableColumns count="4">
    <tableColumn id="1" uniqueName="1" name="Id" queryTableFieldId="1"/>
    <tableColumn id="2" uniqueName="2" name="DeptName" queryTableFieldId="2"/>
    <tableColumn id="3" uniqueName="3" name="DeptId" queryTableFieldId="3"/>
    <tableColumn id="4" uniqueName="4" name="ProjectId" queryTableField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_NIK_SQLEXPRESS_master_Jobs" displayName="Table_NIK_SQLEXPRESS_master_Jobs" ref="A1:U11" tableType="queryTable" totalsRowShown="0">
  <autoFilter ref="A1:U11"/>
  <tableColumns count="21">
    <tableColumn id="1" uniqueName="1" name="Id" queryTableFieldId="1"/>
    <tableColumn id="2" uniqueName="2" name="JobId" queryTableFieldId="2"/>
    <tableColumn id="3" uniqueName="3" name="JobName" queryTableFieldId="3"/>
    <tableColumn id="4" uniqueName="4" name="Owner" queryTableFieldId="4"/>
    <tableColumn id="5" uniqueName="5" name="JobStatus" queryTableFieldId="5"/>
    <tableColumn id="6" uniqueName="6" name="Hours" queryTableFieldId="6"/>
    <tableColumn id="7" uniqueName="7" name="AssignedBy" queryTableFieldId="7"/>
    <tableColumn id="8" uniqueName="8" name="ClientId" queryTableFieldId="8"/>
    <tableColumn id="9" uniqueName="9" name="ClientName" queryTableFieldId="9"/>
    <tableColumn id="10" uniqueName="10" name="ToDate" queryTableFieldId="10"/>
    <tableColumn id="11" uniqueName="11" name="Description" queryTableFieldId="11"/>
    <tableColumn id="12" uniqueName="12" name="JobBillableStatus" queryTableFieldId="12"/>
    <tableColumn id="13" uniqueName="13" name="IsDeleteAllowed" queryTableFieldId="13"/>
    <tableColumn id="14" uniqueName="14" name="ProjectHead" queryTableFieldId="14"/>
    <tableColumn id="15" uniqueName="15" name="IsActive" queryTableFieldId="15"/>
    <tableColumn id="16" uniqueName="16" name="FromDate" queryTableFieldId="16"/>
    <tableColumn id="17" uniqueName="17" name="JobColor" queryTableFieldId="17"/>
    <tableColumn id="18" uniqueName="18" name="RatePerHour" queryTableFieldId="18"/>
    <tableColumn id="19" uniqueName="19" name="TotalHours" queryTableFieldId="19"/>
    <tableColumn id="20" uniqueName="20" name="ProjectName" queryTableFieldId="20"/>
    <tableColumn id="21" uniqueName="21" name="ProjectId" queryTableField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_NIK_SQLEXPRESS_master_JobDetails" displayName="Table_NIK_SQLEXPRESS_master_JobDetails" ref="A1:T11" tableType="queryTable" totalsRowShown="0">
  <autoFilter ref="A1:T11"/>
  <tableColumns count="20">
    <tableColumn id="1" uniqueName="1" name="Id" queryTableFieldId="1"/>
    <tableColumn id="2" uniqueName="2" name="JobId" queryTableFieldId="2"/>
    <tableColumn id="3" uniqueName="3" name="JobName" queryTableFieldId="3"/>
    <tableColumn id="4" uniqueName="4" name="Owner" queryTableFieldId="4"/>
    <tableColumn id="5" uniqueName="5" name="JobStatus" queryTableFieldId="5"/>
    <tableColumn id="6" uniqueName="6" name="Hours" queryTableFieldId="6"/>
    <tableColumn id="7" uniqueName="7" name="AssignedBy" queryTableFieldId="7"/>
    <tableColumn id="8" uniqueName="8" name="ClientId" queryTableFieldId="8"/>
    <tableColumn id="9" uniqueName="9" name="ClientName" queryTableFieldId="9"/>
    <tableColumn id="10" uniqueName="10" name="ToDate" queryTableFieldId="10"/>
    <tableColumn id="11" uniqueName="11" name="Description" queryTableFieldId="11"/>
    <tableColumn id="12" uniqueName="12" name="JobBillableStatus" queryTableFieldId="12"/>
    <tableColumn id="13" uniqueName="13" name="IsDeleteAllowed" queryTableFieldId="13"/>
    <tableColumn id="14" uniqueName="14" name="ProjectHead" queryTableFieldId="14"/>
    <tableColumn id="15" uniqueName="15" name="IsActive" queryTableFieldId="15"/>
    <tableColumn id="16" uniqueName="16" name="FromDate" queryTableFieldId="16"/>
    <tableColumn id="17" uniqueName="17" name="JobColor" queryTableFieldId="17"/>
    <tableColumn id="18" uniqueName="18" name="RatePerHour" queryTableFieldId="18"/>
    <tableColumn id="19" uniqueName="19" name="TotalHours" queryTableFieldId="19"/>
    <tableColumn id="20" uniqueName="20" name="ProjectName" queryTableField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_NIK_SQLEXPRESS_master_Clients" displayName="Table_NIK_SQLEXPRESS_master_Clients" ref="A1:T6" tableType="queryTable" totalsRowShown="0">
  <autoFilter ref="A1:T6"/>
  <tableColumns count="20">
    <tableColumn id="1" uniqueName="1" name="ClientId" queryTableFieldId="1"/>
    <tableColumn id="2" uniqueName="2" name="LastName" queryTableFieldId="2"/>
    <tableColumn id="3" uniqueName="3" name="Country" queryTableFieldId="3"/>
    <tableColumn id="4" uniqueName="4" name="Pincode" queryTableFieldId="4"/>
    <tableColumn id="5" uniqueName="5" name="StreetAddr" queryTableFieldId="5"/>
    <tableColumn id="6" uniqueName="6" name="ClientName" queryTableFieldId="6"/>
    <tableColumn id="7" uniqueName="7" name="City" queryTableFieldId="7"/>
    <tableColumn id="8" uniqueName="8" name="BillingMethod" queryTableFieldId="8"/>
    <tableColumn id="9" uniqueName="9" name="Description" queryTableFieldId="9"/>
    <tableColumn id="10" uniqueName="10" name="EmailId" queryTableFieldId="10"/>
    <tableColumn id="11" uniqueName="11" name="Industry" queryTableFieldId="11"/>
    <tableColumn id="12" uniqueName="12" name="MobileNo" queryTableFieldId="12"/>
    <tableColumn id="13" uniqueName="13" name="PhoneNo" queryTableFieldId="13"/>
    <tableColumn id="14" uniqueName="14" name="FirstName" queryTableFieldId="14"/>
    <tableColumn id="15" uniqueName="15" name="FaxNo" queryTableFieldId="15"/>
    <tableColumn id="16" uniqueName="16" name="CreatedBy" queryTableFieldId="16"/>
    <tableColumn id="17" uniqueName="17" name="Compsize" queryTableFieldId="17"/>
    <tableColumn id="18" uniqueName="18" name="ModifiedBy" queryTableFieldId="18"/>
    <tableColumn id="19" uniqueName="19" name="State" queryTableFieldId="19"/>
    <tableColumn id="20" uniqueName="20" name="CurrencyCode" queryTableField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_NIK_SQLEXPRESS_master_Assignees" displayName="Table_NIK_SQLEXPRESS_master_Assignees" ref="A1:H11" tableType="queryTable" totalsRowShown="0">
  <autoFilter ref="A1:H11"/>
  <tableColumns count="8">
    <tableColumn id="1" uniqueName="1" name="AssigneeId" queryTableFieldId="1"/>
    <tableColumn id="2" uniqueName="2" name="JobId" queryTableFieldId="2"/>
    <tableColumn id="3" uniqueName="3" name="EmpId" queryTableFieldId="3"/>
    <tableColumn id="4" uniqueName="4" name="Hours" queryTableFieldId="4"/>
    <tableColumn id="5" uniqueName="5" name="Erecno" queryTableFieldId="5"/>
    <tableColumn id="6" uniqueName="6" name="Rate" queryTableFieldId="6"/>
    <tableColumn id="7" uniqueName="7" name="Name" queryTableFieldId="7"/>
    <tableColumn id="8" uniqueName="8" name="TotalHour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ghosh.kuntal@external.weiss-world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8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people.zoho.in/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1"/>
  <sheetViews>
    <sheetView tabSelected="1" topLeftCell="A2" workbookViewId="0">
      <selection activeCell="C3" sqref="C3"/>
    </sheetView>
  </sheetViews>
  <sheetFormatPr defaultColWidth="9.1796875" defaultRowHeight="14.5" x14ac:dyDescent="0.35"/>
  <cols>
    <col min="1" max="2" width="9.1796875" style="81"/>
    <col min="3" max="3" width="31" style="81" customWidth="1"/>
    <col min="4" max="4" width="9.1796875" style="81"/>
    <col min="5" max="5" width="47" style="81" customWidth="1"/>
    <col min="6" max="6" width="9.1796875" style="81"/>
    <col min="7" max="11" width="27.7265625" style="81" customWidth="1"/>
    <col min="12" max="16384" width="9.1796875" style="81"/>
  </cols>
  <sheetData>
    <row r="2" spans="1:9" ht="23.5" x14ac:dyDescent="0.35">
      <c r="A2" s="77"/>
      <c r="B2" s="78" t="s">
        <v>7</v>
      </c>
      <c r="C2" s="78" t="s">
        <v>424</v>
      </c>
      <c r="D2" s="79" t="s">
        <v>8</v>
      </c>
      <c r="E2" s="78"/>
      <c r="F2" s="80" t="s">
        <v>9</v>
      </c>
      <c r="G2" s="80"/>
      <c r="H2" s="78"/>
      <c r="I2" s="78"/>
    </row>
    <row r="4" spans="1:9" ht="15" thickBot="1" x14ac:dyDescent="0.4"/>
    <row r="5" spans="1:9" ht="15" thickBot="1" x14ac:dyDescent="0.4">
      <c r="B5" s="84" t="s">
        <v>425</v>
      </c>
      <c r="G5" s="82" t="s">
        <v>38</v>
      </c>
    </row>
    <row r="10" spans="1:9" ht="15" thickBot="1" x14ac:dyDescent="0.4"/>
    <row r="11" spans="1:9" ht="15" thickBot="1" x14ac:dyDescent="0.4">
      <c r="G11" s="83" t="s">
        <v>419</v>
      </c>
    </row>
  </sheetData>
  <hyperlinks>
    <hyperlink ref="D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getClientList">
                <anchor moveWithCells="1" sizeWithCells="1">
                  <from>
                    <xdr:col>4</xdr:col>
                    <xdr:colOff>1181100</xdr:colOff>
                    <xdr:row>9</xdr:row>
                    <xdr:rowOff>25400</xdr:rowOff>
                  </from>
                  <to>
                    <xdr:col>4</xdr:col>
                    <xdr:colOff>2946400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ThisWorkbook.getProjectList">
                <anchor moveWithCells="1" sizeWithCells="1">
                  <from>
                    <xdr:col>2</xdr:col>
                    <xdr:colOff>1517650</xdr:colOff>
                    <xdr:row>5</xdr:row>
                    <xdr:rowOff>50800</xdr:rowOff>
                  </from>
                  <to>
                    <xdr:col>4</xdr:col>
                    <xdr:colOff>571500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t_Job_List">
                <anchor moveWithCells="1" sizeWithCells="1">
                  <from>
                    <xdr:col>4</xdr:col>
                    <xdr:colOff>1187450</xdr:colOff>
                    <xdr:row>5</xdr:row>
                    <xdr:rowOff>25400</xdr:rowOff>
                  </from>
                  <to>
                    <xdr:col>4</xdr:col>
                    <xdr:colOff>2921000</xdr:colOff>
                    <xdr:row>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get_log_time_details">
                <anchor moveWithCells="1" sizeWithCells="1">
                  <from>
                    <xdr:col>6</xdr:col>
                    <xdr:colOff>158750</xdr:colOff>
                    <xdr:row>5</xdr:row>
                    <xdr:rowOff>63500</xdr:rowOff>
                  </from>
                  <to>
                    <xdr:col>6</xdr:col>
                    <xdr:colOff>1714500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get_log_time">
                <anchor moveWithCells="1" sizeWithCells="1">
                  <from>
                    <xdr:col>2</xdr:col>
                    <xdr:colOff>1511300</xdr:colOff>
                    <xdr:row>9</xdr:row>
                    <xdr:rowOff>38100</xdr:rowOff>
                  </from>
                  <to>
                    <xdr:col>4</xdr:col>
                    <xdr:colOff>635000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GoToSheet">
                <anchor moveWithCells="1" sizeWithCells="1">
                  <from>
                    <xdr:col>6</xdr:col>
                    <xdr:colOff>222250</xdr:colOff>
                    <xdr:row>11</xdr:row>
                    <xdr:rowOff>82550</xdr:rowOff>
                  </from>
                  <to>
                    <xdr:col>6</xdr:col>
                    <xdr:colOff>1619250</xdr:colOff>
                    <xdr:row>13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GoToSheetReports">
                <anchor moveWithCells="1" sizeWithCells="1">
                  <from>
                    <xdr:col>6</xdr:col>
                    <xdr:colOff>215900</xdr:colOff>
                    <xdr:row>15</xdr:row>
                    <xdr:rowOff>31750</xdr:rowOff>
                  </from>
                  <to>
                    <xdr:col>6</xdr:col>
                    <xdr:colOff>1638300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Button 23">
              <controlPr defaultSize="0" print="0" autoFill="0" autoPict="0" macro="[0]!GoToSheetGenerateToken">
                <anchor moveWithCells="1" sizeWithCells="1">
                  <from>
                    <xdr:col>1</xdr:col>
                    <xdr:colOff>133350</xdr:colOff>
                    <xdr:row>5</xdr:row>
                    <xdr:rowOff>44450</xdr:rowOff>
                  </from>
                  <to>
                    <xdr:col>2</xdr:col>
                    <xdr:colOff>1155700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Refresh_Token">
                <anchor moveWithCells="1" sizeWithCells="1">
                  <from>
                    <xdr:col>1</xdr:col>
                    <xdr:colOff>133350</xdr:colOff>
                    <xdr:row>9</xdr:row>
                    <xdr:rowOff>38100</xdr:rowOff>
                  </from>
                  <to>
                    <xdr:col>2</xdr:col>
                    <xdr:colOff>1155700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GoToSheetReportDB">
                <anchor moveWithCells="1" sizeWithCells="1">
                  <from>
                    <xdr:col>6</xdr:col>
                    <xdr:colOff>234950</xdr:colOff>
                    <xdr:row>18</xdr:row>
                    <xdr:rowOff>88900</xdr:rowOff>
                  </from>
                  <to>
                    <xdr:col>6</xdr:col>
                    <xdr:colOff>1657350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LogTime!$A:$A</xm:f>
          </x14:formula1>
          <xm:sqref>G5</xm:sqref>
        </x14:dataValidation>
        <x14:dataValidation type="list" allowBlank="1" showInputMessage="1" showErrorMessage="1">
          <x14:formula1>
            <xm:f>AppConfig!$B$15:$B$18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F31"/>
  <sheetViews>
    <sheetView workbookViewId="0">
      <selection activeCell="E48" sqref="E48"/>
    </sheetView>
  </sheetViews>
  <sheetFormatPr defaultRowHeight="14.5" x14ac:dyDescent="0.35"/>
  <cols>
    <col min="1" max="1" width="8.7265625" style="5"/>
    <col min="2" max="2" width="17.54296875" style="5" customWidth="1"/>
    <col min="3" max="3" width="2.90625" style="5" customWidth="1"/>
    <col min="4" max="4" width="74.7265625" style="5" customWidth="1"/>
    <col min="5" max="16384" width="8.7265625" style="5"/>
  </cols>
  <sheetData>
    <row r="1" spans="2:6" ht="22.5" customHeight="1" x14ac:dyDescent="0.35">
      <c r="B1" s="55" t="s">
        <v>69</v>
      </c>
    </row>
    <row r="2" spans="2:6" ht="15" thickBot="1" x14ac:dyDescent="0.4"/>
    <row r="3" spans="2:6" ht="17" thickBot="1" x14ac:dyDescent="0.5">
      <c r="B3" s="28" t="s">
        <v>21</v>
      </c>
      <c r="D3" s="42" t="s">
        <v>68</v>
      </c>
      <c r="F3" s="41"/>
    </row>
    <row r="4" spans="2:6" ht="15" thickBot="1" x14ac:dyDescent="0.4"/>
    <row r="5" spans="2:6" ht="17" thickBot="1" x14ac:dyDescent="0.5">
      <c r="B5" s="28" t="s">
        <v>61</v>
      </c>
      <c r="D5" s="42" t="s">
        <v>70</v>
      </c>
    </row>
    <row r="6" spans="2:6" ht="15" thickBot="1" x14ac:dyDescent="0.4"/>
    <row r="7" spans="2:6" ht="17" thickBot="1" x14ac:dyDescent="0.5">
      <c r="B7" s="28" t="s">
        <v>62</v>
      </c>
      <c r="D7" s="42" t="s">
        <v>73</v>
      </c>
    </row>
    <row r="13" spans="2:6" x14ac:dyDescent="0.35">
      <c r="B13" s="28" t="s">
        <v>426</v>
      </c>
    </row>
    <row r="14" spans="2:6" x14ac:dyDescent="0.35">
      <c r="B14" s="5" t="s">
        <v>427</v>
      </c>
      <c r="D14" s="5" t="s">
        <v>428</v>
      </c>
    </row>
    <row r="15" spans="2:6" x14ac:dyDescent="0.35">
      <c r="D15" s="5" t="s">
        <v>429</v>
      </c>
    </row>
    <row r="16" spans="2:6" x14ac:dyDescent="0.35">
      <c r="D16" s="28" t="s">
        <v>430</v>
      </c>
    </row>
    <row r="18" spans="2:4" x14ac:dyDescent="0.35">
      <c r="D18" s="5" t="s">
        <v>431</v>
      </c>
    </row>
    <row r="19" spans="2:4" x14ac:dyDescent="0.35">
      <c r="D19" s="5" t="s">
        <v>432</v>
      </c>
    </row>
    <row r="21" spans="2:4" x14ac:dyDescent="0.35">
      <c r="D21" s="5" t="s">
        <v>433</v>
      </c>
    </row>
    <row r="23" spans="2:4" x14ac:dyDescent="0.35">
      <c r="B23" s="5" t="s">
        <v>434</v>
      </c>
      <c r="D23" s="5" t="s">
        <v>435</v>
      </c>
    </row>
    <row r="24" spans="2:4" x14ac:dyDescent="0.35">
      <c r="D24" s="5" t="s">
        <v>436</v>
      </c>
    </row>
    <row r="25" spans="2:4" x14ac:dyDescent="0.35">
      <c r="D25" s="5" t="s">
        <v>437</v>
      </c>
    </row>
    <row r="26" spans="2:4" x14ac:dyDescent="0.35">
      <c r="D26" s="5" t="s">
        <v>438</v>
      </c>
    </row>
    <row r="27" spans="2:4" x14ac:dyDescent="0.35">
      <c r="D27" s="5" t="s">
        <v>439</v>
      </c>
    </row>
    <row r="29" spans="2:4" x14ac:dyDescent="0.35">
      <c r="B29" s="5" t="s">
        <v>440</v>
      </c>
      <c r="D29" s="5" t="s">
        <v>441</v>
      </c>
    </row>
    <row r="31" spans="2:4" x14ac:dyDescent="0.35">
      <c r="B31" s="5" t="s">
        <v>442</v>
      </c>
      <c r="D31" s="5" t="s">
        <v>443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nerate_Access_Token">
                <anchor moveWithCells="1" sizeWithCells="1">
                  <from>
                    <xdr:col>1</xdr:col>
                    <xdr:colOff>838200</xdr:colOff>
                    <xdr:row>8</xdr:row>
                    <xdr:rowOff>50800</xdr:rowOff>
                  </from>
                  <to>
                    <xdr:col>3</xdr:col>
                    <xdr:colOff>971550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5"/>
  <sheetViews>
    <sheetView workbookViewId="0">
      <selection activeCell="B7" sqref="B7"/>
    </sheetView>
  </sheetViews>
  <sheetFormatPr defaultRowHeight="14.5" x14ac:dyDescent="0.35"/>
  <cols>
    <col min="1" max="1" width="16.6328125" customWidth="1"/>
    <col min="2" max="2" width="69.90625" customWidth="1"/>
  </cols>
  <sheetData>
    <row r="1" spans="1:2" x14ac:dyDescent="0.35">
      <c r="A1" s="53" t="s">
        <v>63</v>
      </c>
      <c r="B1" s="53" t="s">
        <v>74</v>
      </c>
    </row>
    <row r="2" spans="1:2" x14ac:dyDescent="0.35">
      <c r="A2" s="53" t="s">
        <v>64</v>
      </c>
      <c r="B2" s="54" t="s">
        <v>75</v>
      </c>
    </row>
    <row r="3" spans="1:2" x14ac:dyDescent="0.35">
      <c r="A3" s="53" t="s">
        <v>65</v>
      </c>
      <c r="B3" s="53" t="s">
        <v>71</v>
      </c>
    </row>
    <row r="4" spans="1:2" x14ac:dyDescent="0.35">
      <c r="A4" s="53" t="s">
        <v>66</v>
      </c>
      <c r="B4" s="53" t="s">
        <v>72</v>
      </c>
    </row>
    <row r="5" spans="1:2" x14ac:dyDescent="0.35">
      <c r="A5" s="53" t="s">
        <v>67</v>
      </c>
      <c r="B5" s="53">
        <v>3600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H15"/>
  <sheetViews>
    <sheetView workbookViewId="0">
      <selection activeCell="D10" sqref="D10"/>
    </sheetView>
  </sheetViews>
  <sheetFormatPr defaultRowHeight="14.5" x14ac:dyDescent="0.35"/>
  <cols>
    <col min="1" max="1" width="8.7265625" style="5"/>
    <col min="2" max="2" width="18.1796875" style="5" customWidth="1"/>
    <col min="3" max="3" width="2.81640625" style="5" customWidth="1"/>
    <col min="4" max="4" width="78.08984375" style="5" customWidth="1"/>
    <col min="5" max="6" width="8.7265625" style="5"/>
    <col min="7" max="7" width="20.453125" style="5" customWidth="1"/>
    <col min="8" max="8" width="81.6328125" style="5" customWidth="1"/>
    <col min="9" max="16384" width="8.7265625" style="5"/>
  </cols>
  <sheetData>
    <row r="1" spans="2:8" ht="21.5" customHeight="1" x14ac:dyDescent="0.35">
      <c r="B1" s="57" t="s">
        <v>64</v>
      </c>
      <c r="G1" s="58" t="s">
        <v>131</v>
      </c>
    </row>
    <row r="2" spans="2:8" ht="15" thickBot="1" x14ac:dyDescent="0.4">
      <c r="G2" s="52" t="s">
        <v>63</v>
      </c>
      <c r="H2" s="52" t="s">
        <v>423</v>
      </c>
    </row>
    <row r="3" spans="2:8" ht="17" thickBot="1" x14ac:dyDescent="0.5">
      <c r="B3" s="28" t="s">
        <v>64</v>
      </c>
      <c r="D3" s="44" t="s">
        <v>75</v>
      </c>
      <c r="G3" s="52" t="s">
        <v>67</v>
      </c>
      <c r="H3" s="52">
        <v>3600</v>
      </c>
    </row>
    <row r="4" spans="2:8" ht="15" thickBot="1" x14ac:dyDescent="0.4">
      <c r="G4" s="52" t="s">
        <v>65</v>
      </c>
      <c r="H4" s="52" t="s">
        <v>71</v>
      </c>
    </row>
    <row r="5" spans="2:8" ht="15" thickBot="1" x14ac:dyDescent="0.4">
      <c r="B5" s="28" t="s">
        <v>21</v>
      </c>
      <c r="D5" s="40" t="s">
        <v>68</v>
      </c>
      <c r="G5" s="52" t="s">
        <v>66</v>
      </c>
      <c r="H5" s="52" t="s">
        <v>72</v>
      </c>
    </row>
    <row r="6" spans="2:8" ht="15" thickBot="1" x14ac:dyDescent="0.4"/>
    <row r="7" spans="2:8" ht="15" thickBot="1" x14ac:dyDescent="0.4">
      <c r="B7" s="28" t="s">
        <v>61</v>
      </c>
      <c r="D7" s="40" t="s">
        <v>70</v>
      </c>
    </row>
    <row r="8" spans="2:8" ht="18.5" x14ac:dyDescent="0.45">
      <c r="H8" s="56"/>
    </row>
    <row r="14" spans="2:8" ht="16.5" x14ac:dyDescent="0.45">
      <c r="D14" s="43"/>
    </row>
    <row r="15" spans="2:8" ht="16.5" x14ac:dyDescent="0.45">
      <c r="D15" s="4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Refresh_Token">
                <anchor moveWithCells="1" sizeWithCells="1">
                  <from>
                    <xdr:col>1</xdr:col>
                    <xdr:colOff>1130300</xdr:colOff>
                    <xdr:row>8</xdr:row>
                    <xdr:rowOff>44450</xdr:rowOff>
                  </from>
                  <to>
                    <xdr:col>3</xdr:col>
                    <xdr:colOff>1187450</xdr:colOff>
                    <xdr:row>9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GenerateAccessToken!$D$3</xm:f>
          </x14:formula1>
          <xm:sqref>D5</xm:sqref>
        </x14:dataValidation>
        <x14:dataValidation type="list" allowBlank="1" showInputMessage="1" showErrorMessage="1">
          <x14:formula1>
            <xm:f>GenerateAccessToken!$D$5</xm:f>
          </x14:formula1>
          <xm:sqref>D7</xm:sqref>
        </x14:dataValidation>
        <x14:dataValidation type="list" allowBlank="1" showInputMessage="1" showErrorMessage="1">
          <x14:formula1>
            <xm:f>AccessToken!$B$2</xm:f>
          </x14:formula1>
          <xm:sqref>D3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75"/>
  <sheetViews>
    <sheetView workbookViewId="0">
      <selection activeCell="F4" sqref="F4"/>
    </sheetView>
  </sheetViews>
  <sheetFormatPr defaultRowHeight="14.5" x14ac:dyDescent="0.35"/>
  <cols>
    <col min="1" max="1" width="22.26953125" style="47" customWidth="1"/>
    <col min="2" max="2" width="27.36328125" style="48" customWidth="1"/>
    <col min="3" max="3" width="18.36328125" style="48" customWidth="1"/>
    <col min="4" max="4" width="18.08984375" style="48" customWidth="1"/>
    <col min="5" max="5" width="21.90625" style="48" customWidth="1"/>
    <col min="6" max="6" width="8.26953125" style="47" customWidth="1"/>
    <col min="7" max="7" width="11.453125" style="48" customWidth="1"/>
    <col min="8" max="8" width="22.36328125" style="47" customWidth="1"/>
    <col min="9" max="9" width="38.7265625" style="48" customWidth="1"/>
    <col min="10" max="10" width="20.36328125" style="48" customWidth="1"/>
    <col min="11" max="11" width="18.1796875" style="48" customWidth="1"/>
    <col min="12" max="12" width="9.90625" style="48" customWidth="1"/>
    <col min="13" max="13" width="18.453125" style="48" customWidth="1"/>
    <col min="14" max="14" width="19.81640625" style="47" customWidth="1"/>
    <col min="15" max="15" width="12.6328125" style="48" customWidth="1"/>
    <col min="16" max="16" width="11.6328125" style="48" customWidth="1"/>
    <col min="17" max="17" width="15.54296875" style="48" customWidth="1"/>
    <col min="18" max="18" width="18.26953125" style="48" customWidth="1"/>
    <col min="19" max="16384" width="8.7265625" style="48"/>
  </cols>
  <sheetData>
    <row r="1" spans="1:19" s="46" customFormat="1" x14ac:dyDescent="0.35">
      <c r="A1" s="45" t="s">
        <v>28</v>
      </c>
      <c r="B1" s="46" t="s">
        <v>159</v>
      </c>
      <c r="C1" s="46" t="s">
        <v>160</v>
      </c>
      <c r="D1" s="46" t="s">
        <v>161</v>
      </c>
      <c r="E1" s="46" t="s">
        <v>30</v>
      </c>
      <c r="F1" s="45" t="s">
        <v>35</v>
      </c>
      <c r="G1" s="46" t="s">
        <v>76</v>
      </c>
      <c r="H1" s="45" t="s">
        <v>162</v>
      </c>
      <c r="I1" s="46" t="s">
        <v>31</v>
      </c>
      <c r="J1" s="46" t="s">
        <v>163</v>
      </c>
      <c r="K1" s="46" t="s">
        <v>164</v>
      </c>
      <c r="L1" s="46" t="s">
        <v>165</v>
      </c>
      <c r="M1" s="46" t="s">
        <v>175</v>
      </c>
      <c r="N1" s="45" t="s">
        <v>166</v>
      </c>
      <c r="O1" s="46" t="s">
        <v>167</v>
      </c>
      <c r="P1" s="46" t="s">
        <v>168</v>
      </c>
      <c r="Q1" s="46" t="s">
        <v>169</v>
      </c>
      <c r="R1" s="46" t="s">
        <v>13</v>
      </c>
      <c r="S1" s="46" t="s">
        <v>145</v>
      </c>
    </row>
    <row r="2" spans="1:19" x14ac:dyDescent="0.35">
      <c r="A2" s="47" t="s">
        <v>77</v>
      </c>
      <c r="B2" s="48" t="s">
        <v>170</v>
      </c>
      <c r="C2" s="48" t="s">
        <v>32</v>
      </c>
      <c r="E2" s="48" t="s">
        <v>33</v>
      </c>
      <c r="F2" s="47" t="s">
        <v>103</v>
      </c>
      <c r="G2" s="49">
        <v>45390</v>
      </c>
      <c r="H2" s="47" t="s">
        <v>119</v>
      </c>
      <c r="I2" s="48" t="s">
        <v>34</v>
      </c>
      <c r="L2" s="48" t="b">
        <v>1</v>
      </c>
      <c r="M2" s="48">
        <v>0</v>
      </c>
      <c r="N2" s="47" t="s">
        <v>128</v>
      </c>
      <c r="O2" s="48" t="s">
        <v>171</v>
      </c>
      <c r="P2" s="48" t="s">
        <v>172</v>
      </c>
      <c r="Q2" s="48" t="s">
        <v>173</v>
      </c>
      <c r="R2" s="50">
        <v>45412.472604166665</v>
      </c>
      <c r="S2" s="48">
        <v>2</v>
      </c>
    </row>
    <row r="3" spans="1:19" x14ac:dyDescent="0.35">
      <c r="A3" s="47" t="s">
        <v>78</v>
      </c>
      <c r="B3" s="48" t="s">
        <v>170</v>
      </c>
      <c r="C3" s="48" t="s">
        <v>32</v>
      </c>
      <c r="E3" s="48" t="s">
        <v>33</v>
      </c>
      <c r="F3" s="47" t="s">
        <v>103</v>
      </c>
      <c r="G3" s="49">
        <v>45391</v>
      </c>
      <c r="H3" s="47" t="s">
        <v>119</v>
      </c>
      <c r="I3" s="48" t="s">
        <v>34</v>
      </c>
      <c r="L3" s="48" t="b">
        <v>1</v>
      </c>
      <c r="M3" s="48">
        <v>0</v>
      </c>
      <c r="N3" s="47" t="s">
        <v>128</v>
      </c>
      <c r="O3" s="48" t="s">
        <v>171</v>
      </c>
      <c r="P3" s="48" t="s">
        <v>172</v>
      </c>
      <c r="Q3" s="48" t="s">
        <v>173</v>
      </c>
      <c r="R3" s="50">
        <v>45412.472604166665</v>
      </c>
      <c r="S3" s="48">
        <v>2</v>
      </c>
    </row>
    <row r="4" spans="1:19" x14ac:dyDescent="0.35">
      <c r="A4" s="47" t="s">
        <v>38</v>
      </c>
      <c r="B4" s="48" t="s">
        <v>170</v>
      </c>
      <c r="C4" s="48" t="s">
        <v>32</v>
      </c>
      <c r="E4" s="48" t="s">
        <v>36</v>
      </c>
      <c r="F4" s="47" t="s">
        <v>104</v>
      </c>
      <c r="G4" s="49">
        <v>45393</v>
      </c>
      <c r="H4" s="47" t="s">
        <v>119</v>
      </c>
      <c r="I4" s="48" t="s">
        <v>34</v>
      </c>
      <c r="J4" s="48" t="s">
        <v>174</v>
      </c>
      <c r="L4" s="48" t="b">
        <v>1</v>
      </c>
      <c r="M4" s="48">
        <v>0</v>
      </c>
      <c r="N4" s="47" t="s">
        <v>128</v>
      </c>
      <c r="O4" s="48" t="s">
        <v>171</v>
      </c>
      <c r="P4" s="48" t="s">
        <v>172</v>
      </c>
      <c r="Q4" s="48" t="s">
        <v>173</v>
      </c>
      <c r="R4" s="50">
        <v>45412.472604166665</v>
      </c>
      <c r="S4" s="48">
        <v>9</v>
      </c>
    </row>
    <row r="5" spans="1:19" x14ac:dyDescent="0.35">
      <c r="A5" s="47" t="s">
        <v>79</v>
      </c>
      <c r="B5" s="48" t="s">
        <v>170</v>
      </c>
      <c r="C5" s="48" t="s">
        <v>32</v>
      </c>
      <c r="E5" s="48" t="s">
        <v>37</v>
      </c>
      <c r="F5" s="47" t="s">
        <v>105</v>
      </c>
      <c r="G5" s="49">
        <v>45394</v>
      </c>
      <c r="H5" s="47" t="s">
        <v>119</v>
      </c>
      <c r="I5" s="48" t="s">
        <v>34</v>
      </c>
      <c r="L5" s="48" t="b">
        <v>1</v>
      </c>
      <c r="M5" s="48">
        <v>0</v>
      </c>
      <c r="N5" s="47" t="s">
        <v>128</v>
      </c>
      <c r="O5" s="48" t="s">
        <v>171</v>
      </c>
      <c r="P5" s="48" t="s">
        <v>172</v>
      </c>
      <c r="Q5" s="48" t="s">
        <v>173</v>
      </c>
      <c r="R5" s="50">
        <v>45412.472604166665</v>
      </c>
      <c r="S5" s="48">
        <v>8</v>
      </c>
    </row>
    <row r="6" spans="1:19" x14ac:dyDescent="0.35">
      <c r="A6" s="47" t="s">
        <v>80</v>
      </c>
      <c r="B6" s="48" t="s">
        <v>170</v>
      </c>
      <c r="C6" s="48" t="s">
        <v>32</v>
      </c>
      <c r="E6" s="48" t="s">
        <v>37</v>
      </c>
      <c r="F6" s="47" t="s">
        <v>105</v>
      </c>
      <c r="G6" s="49">
        <v>45394</v>
      </c>
      <c r="H6" s="47" t="s">
        <v>119</v>
      </c>
      <c r="I6" s="48" t="s">
        <v>34</v>
      </c>
      <c r="L6" s="48" t="b">
        <v>1</v>
      </c>
      <c r="M6" s="48">
        <v>0</v>
      </c>
      <c r="N6" s="47" t="s">
        <v>128</v>
      </c>
      <c r="O6" s="48" t="s">
        <v>171</v>
      </c>
      <c r="P6" s="48" t="s">
        <v>172</v>
      </c>
      <c r="Q6" s="48" t="s">
        <v>173</v>
      </c>
      <c r="R6" s="50">
        <v>45412.472604166665</v>
      </c>
      <c r="S6" s="48">
        <v>8</v>
      </c>
    </row>
    <row r="7" spans="1:19" x14ac:dyDescent="0.35">
      <c r="A7" s="47" t="s">
        <v>81</v>
      </c>
      <c r="B7" s="48" t="s">
        <v>170</v>
      </c>
      <c r="C7" s="48" t="s">
        <v>32</v>
      </c>
      <c r="E7" s="48" t="s">
        <v>19</v>
      </c>
      <c r="F7" s="47" t="s">
        <v>106</v>
      </c>
      <c r="G7" s="49">
        <v>45394</v>
      </c>
      <c r="H7" s="47" t="s">
        <v>123</v>
      </c>
      <c r="L7" s="48" t="b">
        <v>1</v>
      </c>
      <c r="M7" s="48">
        <v>0</v>
      </c>
      <c r="N7" s="47" t="s">
        <v>123</v>
      </c>
      <c r="O7" s="48" t="s">
        <v>171</v>
      </c>
      <c r="P7" s="48" t="s">
        <v>172</v>
      </c>
      <c r="Q7" s="48" t="s">
        <v>173</v>
      </c>
      <c r="R7" s="50">
        <v>45412.472604166665</v>
      </c>
      <c r="S7" s="48">
        <v>10</v>
      </c>
    </row>
    <row r="8" spans="1:19" x14ac:dyDescent="0.35">
      <c r="A8" s="47" t="s">
        <v>82</v>
      </c>
      <c r="B8" s="48" t="s">
        <v>170</v>
      </c>
      <c r="C8" s="48" t="s">
        <v>32</v>
      </c>
      <c r="E8" s="48" t="s">
        <v>19</v>
      </c>
      <c r="F8" s="47" t="s">
        <v>107</v>
      </c>
      <c r="G8" s="49">
        <v>45394</v>
      </c>
      <c r="H8" s="47" t="s">
        <v>123</v>
      </c>
      <c r="L8" s="48" t="b">
        <v>1</v>
      </c>
      <c r="M8" s="48">
        <v>0</v>
      </c>
      <c r="N8" s="47" t="s">
        <v>123</v>
      </c>
      <c r="O8" s="48" t="s">
        <v>171</v>
      </c>
      <c r="P8" s="48" t="s">
        <v>172</v>
      </c>
      <c r="Q8" s="48" t="s">
        <v>173</v>
      </c>
      <c r="R8" s="50">
        <v>45412.472604166665</v>
      </c>
      <c r="S8" s="48">
        <v>5</v>
      </c>
    </row>
    <row r="9" spans="1:19" x14ac:dyDescent="0.35">
      <c r="A9" s="47" t="s">
        <v>247</v>
      </c>
      <c r="B9" s="48" t="s">
        <v>170</v>
      </c>
      <c r="C9" s="48" t="s">
        <v>32</v>
      </c>
      <c r="E9" s="48" t="s">
        <v>19</v>
      </c>
      <c r="F9" s="47" t="s">
        <v>198</v>
      </c>
      <c r="G9" s="49">
        <v>45395</v>
      </c>
      <c r="H9" s="47" t="s">
        <v>119</v>
      </c>
      <c r="I9" s="48" t="s">
        <v>34</v>
      </c>
      <c r="L9" s="48" t="b">
        <v>1</v>
      </c>
      <c r="M9" s="48">
        <v>0</v>
      </c>
      <c r="N9" s="47" t="s">
        <v>128</v>
      </c>
      <c r="O9" s="48" t="s">
        <v>171</v>
      </c>
      <c r="P9" s="48" t="s">
        <v>172</v>
      </c>
      <c r="Q9" s="48" t="s">
        <v>173</v>
      </c>
      <c r="R9" s="50">
        <v>45412.472604166665</v>
      </c>
      <c r="S9" s="48">
        <v>1</v>
      </c>
    </row>
    <row r="10" spans="1:19" x14ac:dyDescent="0.35">
      <c r="A10" s="47" t="s">
        <v>248</v>
      </c>
      <c r="B10" s="48" t="s">
        <v>170</v>
      </c>
      <c r="C10" s="48" t="s">
        <v>32</v>
      </c>
      <c r="E10" s="48" t="s">
        <v>37</v>
      </c>
      <c r="F10" s="47" t="s">
        <v>198</v>
      </c>
      <c r="G10" s="49">
        <v>45395</v>
      </c>
      <c r="H10" s="47" t="s">
        <v>119</v>
      </c>
      <c r="I10" s="48" t="s">
        <v>34</v>
      </c>
      <c r="L10" s="48" t="b">
        <v>1</v>
      </c>
      <c r="M10" s="48">
        <v>0</v>
      </c>
      <c r="N10" s="47" t="s">
        <v>128</v>
      </c>
      <c r="O10" s="48" t="s">
        <v>171</v>
      </c>
      <c r="P10" s="48" t="s">
        <v>172</v>
      </c>
      <c r="Q10" s="48" t="s">
        <v>173</v>
      </c>
      <c r="R10" s="50">
        <v>45412.472604166665</v>
      </c>
      <c r="S10" s="48">
        <v>1</v>
      </c>
    </row>
    <row r="11" spans="1:19" x14ac:dyDescent="0.35">
      <c r="A11" s="47" t="s">
        <v>209</v>
      </c>
      <c r="B11" s="48" t="s">
        <v>170</v>
      </c>
      <c r="C11" s="48" t="s">
        <v>32</v>
      </c>
      <c r="E11" s="48" t="s">
        <v>19</v>
      </c>
      <c r="F11" s="47" t="s">
        <v>198</v>
      </c>
      <c r="G11" s="49">
        <v>45395</v>
      </c>
      <c r="H11" s="47" t="s">
        <v>119</v>
      </c>
      <c r="I11" s="48" t="s">
        <v>34</v>
      </c>
      <c r="L11" s="48" t="b">
        <v>1</v>
      </c>
      <c r="M11" s="48">
        <v>0</v>
      </c>
      <c r="N11" s="47" t="s">
        <v>128</v>
      </c>
      <c r="O11" s="48" t="s">
        <v>171</v>
      </c>
      <c r="P11" s="48" t="s">
        <v>172</v>
      </c>
      <c r="Q11" s="48" t="s">
        <v>173</v>
      </c>
      <c r="R11" s="50">
        <v>45412.472604166665</v>
      </c>
      <c r="S11" s="48">
        <v>1</v>
      </c>
    </row>
    <row r="12" spans="1:19" x14ac:dyDescent="0.35">
      <c r="A12" s="47" t="s">
        <v>210</v>
      </c>
      <c r="B12" s="48" t="s">
        <v>170</v>
      </c>
      <c r="C12" s="48" t="s">
        <v>32</v>
      </c>
      <c r="E12" s="48" t="s">
        <v>37</v>
      </c>
      <c r="F12" s="47" t="s">
        <v>198</v>
      </c>
      <c r="G12" s="49">
        <v>45395</v>
      </c>
      <c r="H12" s="47" t="s">
        <v>119</v>
      </c>
      <c r="I12" s="48" t="s">
        <v>34</v>
      </c>
      <c r="L12" s="48" t="b">
        <v>1</v>
      </c>
      <c r="M12" s="48">
        <v>0</v>
      </c>
      <c r="N12" s="47" t="s">
        <v>128</v>
      </c>
      <c r="O12" s="48" t="s">
        <v>171</v>
      </c>
      <c r="P12" s="48" t="s">
        <v>172</v>
      </c>
      <c r="Q12" s="48" t="s">
        <v>173</v>
      </c>
      <c r="R12" s="50">
        <v>45412.472604166665</v>
      </c>
      <c r="S12" s="48">
        <v>1</v>
      </c>
    </row>
    <row r="13" spans="1:19" x14ac:dyDescent="0.35">
      <c r="A13" s="47" t="s">
        <v>197</v>
      </c>
      <c r="B13" s="48" t="s">
        <v>170</v>
      </c>
      <c r="C13" s="48" t="s">
        <v>32</v>
      </c>
      <c r="E13" s="48" t="s">
        <v>19</v>
      </c>
      <c r="F13" s="47" t="s">
        <v>198</v>
      </c>
      <c r="G13" s="49">
        <v>45395</v>
      </c>
      <c r="H13" s="47" t="s">
        <v>119</v>
      </c>
      <c r="I13" s="48" t="s">
        <v>34</v>
      </c>
      <c r="L13" s="48" t="b">
        <v>1</v>
      </c>
      <c r="M13" s="48">
        <v>0</v>
      </c>
      <c r="N13" s="47" t="s">
        <v>128</v>
      </c>
      <c r="O13" s="48" t="s">
        <v>171</v>
      </c>
      <c r="P13" s="48" t="s">
        <v>172</v>
      </c>
      <c r="Q13" s="48" t="s">
        <v>173</v>
      </c>
      <c r="R13" s="50">
        <v>45412.472604166665</v>
      </c>
      <c r="S13" s="48">
        <v>1</v>
      </c>
    </row>
    <row r="14" spans="1:19" x14ac:dyDescent="0.35">
      <c r="A14" s="47" t="s">
        <v>199</v>
      </c>
      <c r="B14" s="48" t="s">
        <v>170</v>
      </c>
      <c r="C14" s="48" t="s">
        <v>32</v>
      </c>
      <c r="E14" s="48" t="s">
        <v>37</v>
      </c>
      <c r="F14" s="47" t="s">
        <v>198</v>
      </c>
      <c r="G14" s="49">
        <v>45395</v>
      </c>
      <c r="H14" s="47" t="s">
        <v>119</v>
      </c>
      <c r="I14" s="48" t="s">
        <v>34</v>
      </c>
      <c r="L14" s="48" t="b">
        <v>1</v>
      </c>
      <c r="M14" s="48">
        <v>0</v>
      </c>
      <c r="N14" s="47" t="s">
        <v>128</v>
      </c>
      <c r="O14" s="48" t="s">
        <v>171</v>
      </c>
      <c r="P14" s="48" t="s">
        <v>172</v>
      </c>
      <c r="Q14" s="48" t="s">
        <v>173</v>
      </c>
      <c r="R14" s="50">
        <v>45412.472604166665</v>
      </c>
      <c r="S14" s="48">
        <v>1</v>
      </c>
    </row>
    <row r="15" spans="1:19" x14ac:dyDescent="0.35">
      <c r="A15" s="47" t="s">
        <v>83</v>
      </c>
      <c r="B15" s="48" t="s">
        <v>170</v>
      </c>
      <c r="C15" s="48" t="s">
        <v>32</v>
      </c>
      <c r="E15" s="48" t="s">
        <v>37</v>
      </c>
      <c r="F15" s="47" t="s">
        <v>108</v>
      </c>
      <c r="G15" s="49">
        <v>45395</v>
      </c>
      <c r="H15" s="47" t="s">
        <v>119</v>
      </c>
      <c r="I15" s="48" t="s">
        <v>34</v>
      </c>
      <c r="L15" s="48" t="b">
        <v>1</v>
      </c>
      <c r="M15" s="48">
        <v>0</v>
      </c>
      <c r="N15" s="47" t="s">
        <v>128</v>
      </c>
      <c r="O15" s="48" t="s">
        <v>171</v>
      </c>
      <c r="P15" s="48" t="s">
        <v>172</v>
      </c>
      <c r="Q15" s="48" t="s">
        <v>173</v>
      </c>
      <c r="R15" s="50">
        <v>45412.472604166665</v>
      </c>
      <c r="S15" s="48">
        <v>44</v>
      </c>
    </row>
    <row r="16" spans="1:19" x14ac:dyDescent="0.35">
      <c r="A16" s="47" t="s">
        <v>84</v>
      </c>
      <c r="B16" s="48" t="s">
        <v>170</v>
      </c>
      <c r="C16" s="48" t="s">
        <v>32</v>
      </c>
      <c r="E16" s="48" t="s">
        <v>36</v>
      </c>
      <c r="F16" s="47" t="s">
        <v>109</v>
      </c>
      <c r="G16" s="49">
        <v>45395</v>
      </c>
      <c r="H16" s="47" t="s">
        <v>119</v>
      </c>
      <c r="I16" s="48" t="s">
        <v>34</v>
      </c>
      <c r="L16" s="48" t="b">
        <v>1</v>
      </c>
      <c r="M16" s="48">
        <v>0</v>
      </c>
      <c r="N16" s="47" t="s">
        <v>128</v>
      </c>
      <c r="O16" s="48" t="s">
        <v>171</v>
      </c>
      <c r="P16" s="48" t="s">
        <v>172</v>
      </c>
      <c r="Q16" s="48" t="s">
        <v>173</v>
      </c>
      <c r="R16" s="50">
        <v>45412.472604166665</v>
      </c>
      <c r="S16" s="48">
        <v>33</v>
      </c>
    </row>
    <row r="17" spans="1:19" x14ac:dyDescent="0.35">
      <c r="A17" s="47" t="s">
        <v>85</v>
      </c>
      <c r="B17" s="48" t="s">
        <v>170</v>
      </c>
      <c r="C17" s="48" t="s">
        <v>32</v>
      </c>
      <c r="E17" s="48" t="s">
        <v>19</v>
      </c>
      <c r="F17" s="47" t="s">
        <v>110</v>
      </c>
      <c r="G17" s="49">
        <v>45395</v>
      </c>
      <c r="H17" s="47" t="s">
        <v>119</v>
      </c>
      <c r="I17" s="48" t="s">
        <v>34</v>
      </c>
      <c r="L17" s="48" t="b">
        <v>1</v>
      </c>
      <c r="M17" s="48">
        <v>0</v>
      </c>
      <c r="N17" s="47" t="s">
        <v>128</v>
      </c>
      <c r="O17" s="48" t="s">
        <v>171</v>
      </c>
      <c r="P17" s="48" t="s">
        <v>172</v>
      </c>
      <c r="Q17" s="48" t="s">
        <v>173</v>
      </c>
      <c r="R17" s="50">
        <v>45412.472604166665</v>
      </c>
      <c r="S17" s="48">
        <v>22</v>
      </c>
    </row>
    <row r="18" spans="1:19" x14ac:dyDescent="0.35">
      <c r="A18" s="47" t="s">
        <v>86</v>
      </c>
      <c r="B18" s="48" t="s">
        <v>170</v>
      </c>
      <c r="C18" s="48" t="s">
        <v>32</v>
      </c>
      <c r="E18" s="48" t="s">
        <v>37</v>
      </c>
      <c r="F18" s="47" t="s">
        <v>111</v>
      </c>
      <c r="G18" s="49">
        <v>45395</v>
      </c>
      <c r="H18" s="47" t="s">
        <v>119</v>
      </c>
      <c r="I18" s="48" t="s">
        <v>34</v>
      </c>
      <c r="L18" s="48" t="b">
        <v>1</v>
      </c>
      <c r="M18" s="48">
        <v>0</v>
      </c>
      <c r="N18" s="47" t="s">
        <v>128</v>
      </c>
      <c r="O18" s="48" t="s">
        <v>171</v>
      </c>
      <c r="P18" s="48" t="s">
        <v>172</v>
      </c>
      <c r="Q18" s="48" t="s">
        <v>173</v>
      </c>
      <c r="R18" s="50">
        <v>45412.472604166665</v>
      </c>
      <c r="S18" s="48">
        <v>11</v>
      </c>
    </row>
    <row r="19" spans="1:19" x14ac:dyDescent="0.35">
      <c r="A19" s="47" t="s">
        <v>87</v>
      </c>
      <c r="B19" s="48" t="s">
        <v>170</v>
      </c>
      <c r="C19" s="48" t="s">
        <v>32</v>
      </c>
      <c r="E19" s="48" t="s">
        <v>37</v>
      </c>
      <c r="F19" s="47" t="s">
        <v>112</v>
      </c>
      <c r="G19" s="49">
        <v>45395</v>
      </c>
      <c r="H19" s="47" t="s">
        <v>119</v>
      </c>
      <c r="I19" s="48" t="s">
        <v>34</v>
      </c>
      <c r="L19" s="48" t="b">
        <v>1</v>
      </c>
      <c r="M19" s="48">
        <v>0</v>
      </c>
      <c r="N19" s="47" t="s">
        <v>128</v>
      </c>
      <c r="O19" s="48" t="s">
        <v>171</v>
      </c>
      <c r="P19" s="48" t="s">
        <v>172</v>
      </c>
      <c r="Q19" s="48" t="s">
        <v>173</v>
      </c>
      <c r="R19" s="50">
        <v>45412.472604166665</v>
      </c>
      <c r="S19" s="48">
        <v>50</v>
      </c>
    </row>
    <row r="20" spans="1:19" x14ac:dyDescent="0.35">
      <c r="A20" s="47" t="s">
        <v>88</v>
      </c>
      <c r="B20" s="48" t="s">
        <v>170</v>
      </c>
      <c r="C20" s="48" t="s">
        <v>32</v>
      </c>
      <c r="E20" s="48" t="s">
        <v>36</v>
      </c>
      <c r="F20" s="47" t="s">
        <v>106</v>
      </c>
      <c r="G20" s="49">
        <v>45395</v>
      </c>
      <c r="H20" s="47" t="s">
        <v>119</v>
      </c>
      <c r="I20" s="48" t="s">
        <v>34</v>
      </c>
      <c r="L20" s="48" t="b">
        <v>1</v>
      </c>
      <c r="M20" s="48">
        <v>0</v>
      </c>
      <c r="N20" s="47" t="s">
        <v>128</v>
      </c>
      <c r="O20" s="48" t="s">
        <v>171</v>
      </c>
      <c r="P20" s="48" t="s">
        <v>172</v>
      </c>
      <c r="Q20" s="48" t="s">
        <v>173</v>
      </c>
      <c r="R20" s="50">
        <v>45412.472604166665</v>
      </c>
      <c r="S20" s="48">
        <v>10</v>
      </c>
    </row>
    <row r="21" spans="1:19" x14ac:dyDescent="0.35">
      <c r="A21" s="47" t="s">
        <v>89</v>
      </c>
      <c r="B21" s="48" t="s">
        <v>170</v>
      </c>
      <c r="C21" s="48" t="s">
        <v>32</v>
      </c>
      <c r="E21" s="48" t="s">
        <v>19</v>
      </c>
      <c r="F21" s="47" t="s">
        <v>113</v>
      </c>
      <c r="G21" s="49">
        <v>45395</v>
      </c>
      <c r="H21" s="47" t="s">
        <v>119</v>
      </c>
      <c r="I21" s="48" t="s">
        <v>34</v>
      </c>
      <c r="L21" s="48" t="b">
        <v>1</v>
      </c>
      <c r="M21" s="48">
        <v>0</v>
      </c>
      <c r="N21" s="47" t="s">
        <v>128</v>
      </c>
      <c r="O21" s="48" t="s">
        <v>171</v>
      </c>
      <c r="P21" s="48" t="s">
        <v>172</v>
      </c>
      <c r="Q21" s="48" t="s">
        <v>173</v>
      </c>
      <c r="R21" s="50">
        <v>45412.472604166665</v>
      </c>
      <c r="S21" s="48">
        <v>20</v>
      </c>
    </row>
    <row r="22" spans="1:19" x14ac:dyDescent="0.35">
      <c r="A22" s="47" t="s">
        <v>90</v>
      </c>
      <c r="B22" s="48" t="s">
        <v>170</v>
      </c>
      <c r="C22" s="48" t="s">
        <v>32</v>
      </c>
      <c r="E22" s="48" t="s">
        <v>37</v>
      </c>
      <c r="F22" s="47" t="s">
        <v>113</v>
      </c>
      <c r="G22" s="49">
        <v>45395</v>
      </c>
      <c r="H22" s="47" t="s">
        <v>119</v>
      </c>
      <c r="I22" s="48" t="s">
        <v>34</v>
      </c>
      <c r="L22" s="48" t="b">
        <v>1</v>
      </c>
      <c r="M22" s="48">
        <v>0</v>
      </c>
      <c r="N22" s="47" t="s">
        <v>128</v>
      </c>
      <c r="O22" s="48" t="s">
        <v>171</v>
      </c>
      <c r="P22" s="48" t="s">
        <v>172</v>
      </c>
      <c r="Q22" s="48" t="s">
        <v>173</v>
      </c>
      <c r="R22" s="50">
        <v>45412.472604166665</v>
      </c>
      <c r="S22" s="48">
        <v>20</v>
      </c>
    </row>
    <row r="23" spans="1:19" x14ac:dyDescent="0.35">
      <c r="A23" s="47" t="s">
        <v>91</v>
      </c>
      <c r="B23" s="48" t="s">
        <v>170</v>
      </c>
      <c r="C23" s="48" t="s">
        <v>32</v>
      </c>
      <c r="E23" s="48" t="s">
        <v>37</v>
      </c>
      <c r="F23" s="47" t="s">
        <v>112</v>
      </c>
      <c r="G23" s="49">
        <v>45395</v>
      </c>
      <c r="H23" s="47" t="s">
        <v>119</v>
      </c>
      <c r="I23" s="48" t="s">
        <v>34</v>
      </c>
      <c r="L23" s="48" t="b">
        <v>1</v>
      </c>
      <c r="M23" s="48">
        <v>0</v>
      </c>
      <c r="N23" s="47" t="s">
        <v>128</v>
      </c>
      <c r="O23" s="48" t="s">
        <v>171</v>
      </c>
      <c r="P23" s="48" t="s">
        <v>172</v>
      </c>
      <c r="Q23" s="48" t="s">
        <v>173</v>
      </c>
      <c r="R23" s="50">
        <v>45412.472604166665</v>
      </c>
      <c r="S23" s="48">
        <v>50</v>
      </c>
    </row>
    <row r="24" spans="1:19" x14ac:dyDescent="0.35">
      <c r="A24" s="47" t="s">
        <v>92</v>
      </c>
      <c r="B24" s="48" t="s">
        <v>170</v>
      </c>
      <c r="C24" s="48" t="s">
        <v>32</v>
      </c>
      <c r="E24" s="48" t="s">
        <v>36</v>
      </c>
      <c r="F24" s="47" t="s">
        <v>106</v>
      </c>
      <c r="G24" s="49">
        <v>45395</v>
      </c>
      <c r="H24" s="47" t="s">
        <v>119</v>
      </c>
      <c r="I24" s="48" t="s">
        <v>34</v>
      </c>
      <c r="L24" s="48" t="b">
        <v>1</v>
      </c>
      <c r="M24" s="48">
        <v>0</v>
      </c>
      <c r="N24" s="47" t="s">
        <v>128</v>
      </c>
      <c r="O24" s="48" t="s">
        <v>171</v>
      </c>
      <c r="P24" s="48" t="s">
        <v>172</v>
      </c>
      <c r="Q24" s="48" t="s">
        <v>173</v>
      </c>
      <c r="R24" s="50">
        <v>45412.472604166665</v>
      </c>
      <c r="S24" s="48">
        <v>10</v>
      </c>
    </row>
    <row r="25" spans="1:19" x14ac:dyDescent="0.35">
      <c r="A25" s="47" t="s">
        <v>93</v>
      </c>
      <c r="B25" s="48" t="s">
        <v>170</v>
      </c>
      <c r="C25" s="48" t="s">
        <v>32</v>
      </c>
      <c r="E25" s="48" t="s">
        <v>19</v>
      </c>
      <c r="F25" s="47" t="s">
        <v>113</v>
      </c>
      <c r="G25" s="49">
        <v>45395</v>
      </c>
      <c r="H25" s="47" t="s">
        <v>119</v>
      </c>
      <c r="I25" s="48" t="s">
        <v>34</v>
      </c>
      <c r="L25" s="48" t="b">
        <v>1</v>
      </c>
      <c r="M25" s="48">
        <v>0</v>
      </c>
      <c r="N25" s="47" t="s">
        <v>128</v>
      </c>
      <c r="O25" s="48" t="s">
        <v>171</v>
      </c>
      <c r="P25" s="48" t="s">
        <v>172</v>
      </c>
      <c r="Q25" s="48" t="s">
        <v>173</v>
      </c>
      <c r="R25" s="50">
        <v>45412.472604166665</v>
      </c>
      <c r="S25" s="48">
        <v>20</v>
      </c>
    </row>
    <row r="26" spans="1:19" x14ac:dyDescent="0.35">
      <c r="A26" s="47" t="s">
        <v>94</v>
      </c>
      <c r="B26" s="48" t="s">
        <v>170</v>
      </c>
      <c r="C26" s="48" t="s">
        <v>32</v>
      </c>
      <c r="E26" s="48" t="s">
        <v>37</v>
      </c>
      <c r="F26" s="47" t="s">
        <v>113</v>
      </c>
      <c r="G26" s="49">
        <v>45395</v>
      </c>
      <c r="H26" s="47" t="s">
        <v>119</v>
      </c>
      <c r="I26" s="48" t="s">
        <v>34</v>
      </c>
      <c r="L26" s="48" t="b">
        <v>1</v>
      </c>
      <c r="M26" s="48">
        <v>0</v>
      </c>
      <c r="N26" s="47" t="s">
        <v>128</v>
      </c>
      <c r="O26" s="48" t="s">
        <v>171</v>
      </c>
      <c r="P26" s="48" t="s">
        <v>172</v>
      </c>
      <c r="Q26" s="48" t="s">
        <v>173</v>
      </c>
      <c r="R26" s="50">
        <v>45412.472604166665</v>
      </c>
      <c r="S26" s="48">
        <v>20</v>
      </c>
    </row>
    <row r="27" spans="1:19" x14ac:dyDescent="0.35">
      <c r="A27" s="47" t="s">
        <v>249</v>
      </c>
      <c r="B27" s="48" t="s">
        <v>170</v>
      </c>
      <c r="C27" s="48" t="s">
        <v>32</v>
      </c>
      <c r="E27" s="48" t="s">
        <v>59</v>
      </c>
      <c r="F27" s="47" t="s">
        <v>103</v>
      </c>
      <c r="G27" s="49">
        <v>45398</v>
      </c>
      <c r="H27" s="47" t="s">
        <v>126</v>
      </c>
      <c r="I27" s="48" t="s">
        <v>60</v>
      </c>
      <c r="L27" s="48" t="b">
        <v>1</v>
      </c>
      <c r="M27" s="48">
        <v>0</v>
      </c>
      <c r="N27" s="47" t="s">
        <v>123</v>
      </c>
      <c r="O27" s="48" t="s">
        <v>171</v>
      </c>
      <c r="P27" s="48" t="s">
        <v>172</v>
      </c>
      <c r="Q27" s="48" t="s">
        <v>173</v>
      </c>
      <c r="R27" s="50">
        <v>45412.472604166665</v>
      </c>
      <c r="S27" s="48">
        <v>2</v>
      </c>
    </row>
    <row r="28" spans="1:19" x14ac:dyDescent="0.35">
      <c r="A28" s="47" t="s">
        <v>250</v>
      </c>
      <c r="B28" s="48" t="s">
        <v>170</v>
      </c>
      <c r="C28" s="48" t="s">
        <v>32</v>
      </c>
      <c r="E28" s="48" t="s">
        <v>36</v>
      </c>
      <c r="F28" s="47" t="s">
        <v>198</v>
      </c>
      <c r="G28" s="49">
        <v>45398</v>
      </c>
      <c r="H28" s="47" t="s">
        <v>126</v>
      </c>
      <c r="I28" s="48" t="s">
        <v>60</v>
      </c>
      <c r="L28" s="48" t="b">
        <v>1</v>
      </c>
      <c r="M28" s="48">
        <v>0</v>
      </c>
      <c r="N28" s="47" t="s">
        <v>123</v>
      </c>
      <c r="O28" s="48" t="s">
        <v>171</v>
      </c>
      <c r="P28" s="48" t="s">
        <v>172</v>
      </c>
      <c r="Q28" s="48" t="s">
        <v>173</v>
      </c>
      <c r="R28" s="50">
        <v>45412.472604166665</v>
      </c>
      <c r="S28" s="48">
        <v>1</v>
      </c>
    </row>
    <row r="29" spans="1:19" x14ac:dyDescent="0.35">
      <c r="A29" s="47" t="s">
        <v>251</v>
      </c>
      <c r="B29" s="48" t="s">
        <v>170</v>
      </c>
      <c r="C29" s="48" t="s">
        <v>32</v>
      </c>
      <c r="E29" s="48" t="s">
        <v>19</v>
      </c>
      <c r="F29" s="47" t="s">
        <v>198</v>
      </c>
      <c r="G29" s="49">
        <v>45398</v>
      </c>
      <c r="H29" s="47" t="s">
        <v>119</v>
      </c>
      <c r="I29" s="48" t="s">
        <v>34</v>
      </c>
      <c r="L29" s="48" t="b">
        <v>1</v>
      </c>
      <c r="M29" s="48">
        <v>0</v>
      </c>
      <c r="N29" s="47" t="s">
        <v>128</v>
      </c>
      <c r="O29" s="48" t="s">
        <v>171</v>
      </c>
      <c r="P29" s="48" t="s">
        <v>172</v>
      </c>
      <c r="Q29" s="48" t="s">
        <v>173</v>
      </c>
      <c r="R29" s="50">
        <v>45412.472604166665</v>
      </c>
      <c r="S29" s="48">
        <v>1</v>
      </c>
    </row>
    <row r="30" spans="1:19" x14ac:dyDescent="0.35">
      <c r="A30" s="47" t="s">
        <v>252</v>
      </c>
      <c r="B30" s="48" t="s">
        <v>170</v>
      </c>
      <c r="C30" s="48" t="s">
        <v>32</v>
      </c>
      <c r="E30" s="48" t="s">
        <v>37</v>
      </c>
      <c r="F30" s="47" t="s">
        <v>198</v>
      </c>
      <c r="G30" s="49">
        <v>45398</v>
      </c>
      <c r="H30" s="47" t="s">
        <v>119</v>
      </c>
      <c r="I30" s="48" t="s">
        <v>34</v>
      </c>
      <c r="L30" s="48" t="b">
        <v>1</v>
      </c>
      <c r="M30" s="48">
        <v>0</v>
      </c>
      <c r="N30" s="47" t="s">
        <v>128</v>
      </c>
      <c r="O30" s="48" t="s">
        <v>171</v>
      </c>
      <c r="P30" s="48" t="s">
        <v>172</v>
      </c>
      <c r="Q30" s="48" t="s">
        <v>173</v>
      </c>
      <c r="R30" s="50">
        <v>45412.472604166665</v>
      </c>
      <c r="S30" s="48">
        <v>1</v>
      </c>
    </row>
    <row r="31" spans="1:19" x14ac:dyDescent="0.35">
      <c r="A31" s="47" t="s">
        <v>253</v>
      </c>
      <c r="B31" s="48" t="s">
        <v>170</v>
      </c>
      <c r="C31" s="48" t="s">
        <v>32</v>
      </c>
      <c r="E31" s="48" t="s">
        <v>36</v>
      </c>
      <c r="F31" s="47" t="s">
        <v>198</v>
      </c>
      <c r="G31" s="49">
        <v>45398</v>
      </c>
      <c r="H31" s="47" t="s">
        <v>119</v>
      </c>
      <c r="I31" s="48" t="s">
        <v>34</v>
      </c>
      <c r="L31" s="48" t="b">
        <v>1</v>
      </c>
      <c r="M31" s="48">
        <v>0</v>
      </c>
      <c r="N31" s="47" t="s">
        <v>128</v>
      </c>
      <c r="O31" s="48" t="s">
        <v>171</v>
      </c>
      <c r="P31" s="48" t="s">
        <v>172</v>
      </c>
      <c r="Q31" s="48" t="s">
        <v>173</v>
      </c>
      <c r="R31" s="50">
        <v>45412.472604166665</v>
      </c>
      <c r="S31" s="48">
        <v>1</v>
      </c>
    </row>
    <row r="32" spans="1:19" x14ac:dyDescent="0.35">
      <c r="A32" s="47" t="s">
        <v>211</v>
      </c>
      <c r="B32" s="48" t="s">
        <v>170</v>
      </c>
      <c r="C32" s="48" t="s">
        <v>32</v>
      </c>
      <c r="E32" s="48" t="s">
        <v>36</v>
      </c>
      <c r="F32" s="47" t="s">
        <v>198</v>
      </c>
      <c r="G32" s="49">
        <v>45398</v>
      </c>
      <c r="H32" s="47" t="s">
        <v>126</v>
      </c>
      <c r="I32" s="48" t="s">
        <v>60</v>
      </c>
      <c r="L32" s="48" t="b">
        <v>1</v>
      </c>
      <c r="M32" s="48">
        <v>0</v>
      </c>
      <c r="N32" s="47" t="s">
        <v>123</v>
      </c>
      <c r="O32" s="48" t="s">
        <v>171</v>
      </c>
      <c r="P32" s="48" t="s">
        <v>172</v>
      </c>
      <c r="Q32" s="48" t="s">
        <v>173</v>
      </c>
      <c r="R32" s="50">
        <v>45412.472604166665</v>
      </c>
      <c r="S32" s="48">
        <v>1</v>
      </c>
    </row>
    <row r="33" spans="1:19" x14ac:dyDescent="0.35">
      <c r="A33" s="47" t="s">
        <v>212</v>
      </c>
      <c r="B33" s="48" t="s">
        <v>170</v>
      </c>
      <c r="C33" s="48" t="s">
        <v>32</v>
      </c>
      <c r="E33" s="48" t="s">
        <v>59</v>
      </c>
      <c r="F33" s="47" t="s">
        <v>103</v>
      </c>
      <c r="G33" s="49">
        <v>45398</v>
      </c>
      <c r="H33" s="47" t="s">
        <v>126</v>
      </c>
      <c r="I33" s="48" t="s">
        <v>60</v>
      </c>
      <c r="L33" s="48" t="b">
        <v>1</v>
      </c>
      <c r="M33" s="48">
        <v>0</v>
      </c>
      <c r="N33" s="47" t="s">
        <v>123</v>
      </c>
      <c r="O33" s="48" t="s">
        <v>171</v>
      </c>
      <c r="P33" s="48" t="s">
        <v>172</v>
      </c>
      <c r="Q33" s="48" t="s">
        <v>173</v>
      </c>
      <c r="R33" s="50">
        <v>45412.472604166665</v>
      </c>
      <c r="S33" s="48">
        <v>2</v>
      </c>
    </row>
    <row r="34" spans="1:19" x14ac:dyDescent="0.35">
      <c r="A34" s="47" t="s">
        <v>213</v>
      </c>
      <c r="B34" s="48" t="s">
        <v>170</v>
      </c>
      <c r="C34" s="48" t="s">
        <v>32</v>
      </c>
      <c r="E34" s="48" t="s">
        <v>19</v>
      </c>
      <c r="F34" s="47" t="s">
        <v>198</v>
      </c>
      <c r="G34" s="49">
        <v>45398</v>
      </c>
      <c r="H34" s="47" t="s">
        <v>119</v>
      </c>
      <c r="I34" s="48" t="s">
        <v>34</v>
      </c>
      <c r="L34" s="48" t="b">
        <v>1</v>
      </c>
      <c r="M34" s="48">
        <v>0</v>
      </c>
      <c r="N34" s="47" t="s">
        <v>128</v>
      </c>
      <c r="O34" s="48" t="s">
        <v>171</v>
      </c>
      <c r="P34" s="48" t="s">
        <v>172</v>
      </c>
      <c r="Q34" s="48" t="s">
        <v>173</v>
      </c>
      <c r="R34" s="50">
        <v>45412.472604166665</v>
      </c>
      <c r="S34" s="48">
        <v>1</v>
      </c>
    </row>
    <row r="35" spans="1:19" x14ac:dyDescent="0.35">
      <c r="A35" s="47" t="s">
        <v>214</v>
      </c>
      <c r="B35" s="48" t="s">
        <v>170</v>
      </c>
      <c r="C35" s="48" t="s">
        <v>32</v>
      </c>
      <c r="E35" s="48" t="s">
        <v>37</v>
      </c>
      <c r="F35" s="47" t="s">
        <v>198</v>
      </c>
      <c r="G35" s="49">
        <v>45398</v>
      </c>
      <c r="H35" s="47" t="s">
        <v>119</v>
      </c>
      <c r="I35" s="48" t="s">
        <v>34</v>
      </c>
      <c r="L35" s="48" t="b">
        <v>1</v>
      </c>
      <c r="M35" s="48">
        <v>0</v>
      </c>
      <c r="N35" s="47" t="s">
        <v>128</v>
      </c>
      <c r="O35" s="48" t="s">
        <v>171</v>
      </c>
      <c r="P35" s="48" t="s">
        <v>172</v>
      </c>
      <c r="Q35" s="48" t="s">
        <v>173</v>
      </c>
      <c r="R35" s="50">
        <v>45412.472604166665</v>
      </c>
      <c r="S35" s="48">
        <v>1</v>
      </c>
    </row>
    <row r="36" spans="1:19" x14ac:dyDescent="0.35">
      <c r="A36" s="47" t="s">
        <v>215</v>
      </c>
      <c r="B36" s="48" t="s">
        <v>170</v>
      </c>
      <c r="C36" s="48" t="s">
        <v>32</v>
      </c>
      <c r="E36" s="48" t="s">
        <v>36</v>
      </c>
      <c r="F36" s="47" t="s">
        <v>198</v>
      </c>
      <c r="G36" s="49">
        <v>45398</v>
      </c>
      <c r="H36" s="47" t="s">
        <v>119</v>
      </c>
      <c r="I36" s="48" t="s">
        <v>34</v>
      </c>
      <c r="L36" s="48" t="b">
        <v>1</v>
      </c>
      <c r="M36" s="48">
        <v>0</v>
      </c>
      <c r="N36" s="47" t="s">
        <v>128</v>
      </c>
      <c r="O36" s="48" t="s">
        <v>171</v>
      </c>
      <c r="P36" s="48" t="s">
        <v>172</v>
      </c>
      <c r="Q36" s="48" t="s">
        <v>173</v>
      </c>
      <c r="R36" s="50">
        <v>45412.472604166665</v>
      </c>
      <c r="S36" s="48">
        <v>1</v>
      </c>
    </row>
    <row r="37" spans="1:19" x14ac:dyDescent="0.35">
      <c r="A37" s="47" t="s">
        <v>200</v>
      </c>
      <c r="B37" s="48" t="s">
        <v>170</v>
      </c>
      <c r="C37" s="48" t="s">
        <v>32</v>
      </c>
      <c r="E37" s="48" t="s">
        <v>36</v>
      </c>
      <c r="F37" s="47" t="s">
        <v>198</v>
      </c>
      <c r="G37" s="49">
        <v>45398</v>
      </c>
      <c r="H37" s="47" t="s">
        <v>126</v>
      </c>
      <c r="I37" s="48" t="s">
        <v>60</v>
      </c>
      <c r="L37" s="48" t="b">
        <v>1</v>
      </c>
      <c r="M37" s="48">
        <v>0</v>
      </c>
      <c r="N37" s="47" t="s">
        <v>123</v>
      </c>
      <c r="O37" s="48" t="s">
        <v>171</v>
      </c>
      <c r="P37" s="48" t="s">
        <v>172</v>
      </c>
      <c r="Q37" s="48" t="s">
        <v>173</v>
      </c>
      <c r="R37" s="50">
        <v>45412.472604166665</v>
      </c>
      <c r="S37" s="48">
        <v>1</v>
      </c>
    </row>
    <row r="38" spans="1:19" x14ac:dyDescent="0.35">
      <c r="A38" s="47" t="s">
        <v>201</v>
      </c>
      <c r="B38" s="48" t="s">
        <v>170</v>
      </c>
      <c r="C38" s="48" t="s">
        <v>32</v>
      </c>
      <c r="E38" s="48" t="s">
        <v>59</v>
      </c>
      <c r="F38" s="47" t="s">
        <v>103</v>
      </c>
      <c r="G38" s="49">
        <v>45398</v>
      </c>
      <c r="H38" s="47" t="s">
        <v>126</v>
      </c>
      <c r="I38" s="48" t="s">
        <v>60</v>
      </c>
      <c r="L38" s="48" t="b">
        <v>1</v>
      </c>
      <c r="M38" s="48">
        <v>0</v>
      </c>
      <c r="N38" s="47" t="s">
        <v>123</v>
      </c>
      <c r="O38" s="48" t="s">
        <v>171</v>
      </c>
      <c r="P38" s="48" t="s">
        <v>172</v>
      </c>
      <c r="Q38" s="48" t="s">
        <v>173</v>
      </c>
      <c r="R38" s="50">
        <v>45412.472604166665</v>
      </c>
      <c r="S38" s="48">
        <v>2</v>
      </c>
    </row>
    <row r="39" spans="1:19" x14ac:dyDescent="0.35">
      <c r="A39" s="47" t="s">
        <v>202</v>
      </c>
      <c r="B39" s="48" t="s">
        <v>170</v>
      </c>
      <c r="C39" s="48" t="s">
        <v>32</v>
      </c>
      <c r="E39" s="48" t="s">
        <v>19</v>
      </c>
      <c r="F39" s="47" t="s">
        <v>198</v>
      </c>
      <c r="G39" s="49">
        <v>45398</v>
      </c>
      <c r="H39" s="47" t="s">
        <v>119</v>
      </c>
      <c r="I39" s="48" t="s">
        <v>34</v>
      </c>
      <c r="L39" s="48" t="b">
        <v>1</v>
      </c>
      <c r="M39" s="48">
        <v>0</v>
      </c>
      <c r="N39" s="47" t="s">
        <v>128</v>
      </c>
      <c r="O39" s="48" t="s">
        <v>171</v>
      </c>
      <c r="P39" s="48" t="s">
        <v>172</v>
      </c>
      <c r="Q39" s="48" t="s">
        <v>173</v>
      </c>
      <c r="R39" s="50">
        <v>45412.472604166665</v>
      </c>
      <c r="S39" s="48">
        <v>1</v>
      </c>
    </row>
    <row r="40" spans="1:19" x14ac:dyDescent="0.35">
      <c r="A40" s="47" t="s">
        <v>203</v>
      </c>
      <c r="B40" s="48" t="s">
        <v>170</v>
      </c>
      <c r="C40" s="48" t="s">
        <v>32</v>
      </c>
      <c r="E40" s="48" t="s">
        <v>37</v>
      </c>
      <c r="F40" s="47" t="s">
        <v>198</v>
      </c>
      <c r="G40" s="49">
        <v>45398</v>
      </c>
      <c r="H40" s="47" t="s">
        <v>119</v>
      </c>
      <c r="I40" s="48" t="s">
        <v>34</v>
      </c>
      <c r="L40" s="48" t="b">
        <v>1</v>
      </c>
      <c r="M40" s="48">
        <v>0</v>
      </c>
      <c r="N40" s="47" t="s">
        <v>128</v>
      </c>
      <c r="O40" s="48" t="s">
        <v>171</v>
      </c>
      <c r="P40" s="48" t="s">
        <v>172</v>
      </c>
      <c r="Q40" s="48" t="s">
        <v>173</v>
      </c>
      <c r="R40" s="50">
        <v>45412.472604166665</v>
      </c>
      <c r="S40" s="48">
        <v>1</v>
      </c>
    </row>
    <row r="41" spans="1:19" x14ac:dyDescent="0.35">
      <c r="A41" s="47" t="s">
        <v>204</v>
      </c>
      <c r="B41" s="48" t="s">
        <v>170</v>
      </c>
      <c r="C41" s="48" t="s">
        <v>32</v>
      </c>
      <c r="E41" s="48" t="s">
        <v>36</v>
      </c>
      <c r="F41" s="47" t="s">
        <v>198</v>
      </c>
      <c r="G41" s="49">
        <v>45398</v>
      </c>
      <c r="H41" s="47" t="s">
        <v>119</v>
      </c>
      <c r="I41" s="48" t="s">
        <v>34</v>
      </c>
      <c r="L41" s="48" t="b">
        <v>1</v>
      </c>
      <c r="M41" s="48">
        <v>0</v>
      </c>
      <c r="N41" s="47" t="s">
        <v>128</v>
      </c>
      <c r="O41" s="48" t="s">
        <v>171</v>
      </c>
      <c r="P41" s="48" t="s">
        <v>172</v>
      </c>
      <c r="Q41" s="48" t="s">
        <v>173</v>
      </c>
      <c r="R41" s="50">
        <v>45412.472604166665</v>
      </c>
      <c r="S41" s="48">
        <v>1</v>
      </c>
    </row>
    <row r="42" spans="1:19" x14ac:dyDescent="0.35">
      <c r="A42" s="47" t="s">
        <v>95</v>
      </c>
      <c r="B42" s="48" t="s">
        <v>170</v>
      </c>
      <c r="C42" s="48" t="s">
        <v>32</v>
      </c>
      <c r="E42" s="48" t="s">
        <v>59</v>
      </c>
      <c r="F42" s="47" t="s">
        <v>114</v>
      </c>
      <c r="G42" s="49">
        <v>45398</v>
      </c>
      <c r="H42" s="47" t="s">
        <v>126</v>
      </c>
      <c r="I42" s="48" t="s">
        <v>60</v>
      </c>
      <c r="L42" s="48" t="b">
        <v>1</v>
      </c>
      <c r="M42" s="48">
        <v>0</v>
      </c>
      <c r="N42" s="47" t="s">
        <v>123</v>
      </c>
      <c r="O42" s="48" t="s">
        <v>171</v>
      </c>
      <c r="P42" s="48" t="s">
        <v>172</v>
      </c>
      <c r="Q42" s="48" t="s">
        <v>173</v>
      </c>
      <c r="R42" s="50">
        <v>45412.472604166665</v>
      </c>
      <c r="S42" s="48">
        <v>45</v>
      </c>
    </row>
    <row r="43" spans="1:19" x14ac:dyDescent="0.35">
      <c r="A43" s="47" t="s">
        <v>96</v>
      </c>
      <c r="B43" s="48" t="s">
        <v>170</v>
      </c>
      <c r="C43" s="48" t="s">
        <v>32</v>
      </c>
      <c r="E43" s="48" t="s">
        <v>19</v>
      </c>
      <c r="F43" s="47" t="s">
        <v>115</v>
      </c>
      <c r="G43" s="49">
        <v>45398</v>
      </c>
      <c r="H43" s="47" t="s">
        <v>119</v>
      </c>
      <c r="I43" s="48" t="s">
        <v>34</v>
      </c>
      <c r="L43" s="48" t="b">
        <v>1</v>
      </c>
      <c r="M43" s="48">
        <v>0</v>
      </c>
      <c r="N43" s="47" t="s">
        <v>128</v>
      </c>
      <c r="O43" s="48" t="s">
        <v>171</v>
      </c>
      <c r="P43" s="48" t="s">
        <v>172</v>
      </c>
      <c r="Q43" s="48" t="s">
        <v>173</v>
      </c>
      <c r="R43" s="50">
        <v>45412.472604166665</v>
      </c>
      <c r="S43" s="48">
        <v>35</v>
      </c>
    </row>
    <row r="44" spans="1:19" x14ac:dyDescent="0.35">
      <c r="A44" s="47" t="s">
        <v>97</v>
      </c>
      <c r="B44" s="48" t="s">
        <v>170</v>
      </c>
      <c r="C44" s="48" t="s">
        <v>32</v>
      </c>
      <c r="E44" s="48" t="s">
        <v>36</v>
      </c>
      <c r="F44" s="47" t="s">
        <v>116</v>
      </c>
      <c r="G44" s="49">
        <v>45398</v>
      </c>
      <c r="H44" s="47" t="s">
        <v>126</v>
      </c>
      <c r="I44" s="48" t="s">
        <v>60</v>
      </c>
      <c r="L44" s="48" t="b">
        <v>1</v>
      </c>
      <c r="M44" s="48">
        <v>0</v>
      </c>
      <c r="N44" s="47" t="s">
        <v>123</v>
      </c>
      <c r="O44" s="48" t="s">
        <v>171</v>
      </c>
      <c r="P44" s="48" t="s">
        <v>172</v>
      </c>
      <c r="Q44" s="48" t="s">
        <v>173</v>
      </c>
      <c r="R44" s="50">
        <v>45412.472604166665</v>
      </c>
      <c r="S44" s="48">
        <v>25</v>
      </c>
    </row>
    <row r="45" spans="1:19" x14ac:dyDescent="0.35">
      <c r="A45" s="47" t="s">
        <v>98</v>
      </c>
      <c r="B45" s="48" t="s">
        <v>170</v>
      </c>
      <c r="C45" s="48" t="s">
        <v>32</v>
      </c>
      <c r="E45" s="48" t="s">
        <v>37</v>
      </c>
      <c r="F45" s="47" t="s">
        <v>117</v>
      </c>
      <c r="G45" s="49">
        <v>45398</v>
      </c>
      <c r="H45" s="47" t="s">
        <v>119</v>
      </c>
      <c r="I45" s="48" t="s">
        <v>34</v>
      </c>
      <c r="L45" s="48" t="b">
        <v>1</v>
      </c>
      <c r="M45" s="48">
        <v>0</v>
      </c>
      <c r="N45" s="47" t="s">
        <v>128</v>
      </c>
      <c r="O45" s="48" t="s">
        <v>171</v>
      </c>
      <c r="P45" s="48" t="s">
        <v>172</v>
      </c>
      <c r="Q45" s="48" t="s">
        <v>173</v>
      </c>
      <c r="R45" s="50">
        <v>45412.472604166665</v>
      </c>
      <c r="S45" s="48">
        <v>15</v>
      </c>
    </row>
    <row r="46" spans="1:19" x14ac:dyDescent="0.35">
      <c r="A46" s="47" t="s">
        <v>99</v>
      </c>
      <c r="B46" s="48" t="s">
        <v>170</v>
      </c>
      <c r="C46" s="48" t="s">
        <v>32</v>
      </c>
      <c r="E46" s="48" t="s">
        <v>37</v>
      </c>
      <c r="F46" s="47" t="s">
        <v>114</v>
      </c>
      <c r="G46" s="49">
        <v>45398</v>
      </c>
      <c r="H46" s="47" t="s">
        <v>119</v>
      </c>
      <c r="I46" s="48" t="s">
        <v>34</v>
      </c>
      <c r="L46" s="48" t="b">
        <v>1</v>
      </c>
      <c r="M46" s="48">
        <v>0</v>
      </c>
      <c r="N46" s="47" t="s">
        <v>128</v>
      </c>
      <c r="O46" s="48" t="s">
        <v>171</v>
      </c>
      <c r="P46" s="48" t="s">
        <v>172</v>
      </c>
      <c r="Q46" s="48" t="s">
        <v>173</v>
      </c>
      <c r="R46" s="50">
        <v>45412.472604166665</v>
      </c>
      <c r="S46" s="48">
        <v>45</v>
      </c>
    </row>
    <row r="47" spans="1:19" x14ac:dyDescent="0.35">
      <c r="A47" s="47" t="s">
        <v>100</v>
      </c>
      <c r="B47" s="48" t="s">
        <v>170</v>
      </c>
      <c r="C47" s="48" t="s">
        <v>32</v>
      </c>
      <c r="E47" s="48" t="s">
        <v>36</v>
      </c>
      <c r="F47" s="47" t="s">
        <v>115</v>
      </c>
      <c r="G47" s="49">
        <v>45398</v>
      </c>
      <c r="H47" s="47" t="s">
        <v>119</v>
      </c>
      <c r="I47" s="48" t="s">
        <v>34</v>
      </c>
      <c r="L47" s="48" t="b">
        <v>1</v>
      </c>
      <c r="M47" s="48">
        <v>0</v>
      </c>
      <c r="N47" s="47" t="s">
        <v>128</v>
      </c>
      <c r="O47" s="48" t="s">
        <v>171</v>
      </c>
      <c r="P47" s="48" t="s">
        <v>172</v>
      </c>
      <c r="Q47" s="48" t="s">
        <v>173</v>
      </c>
      <c r="R47" s="50">
        <v>45412.472604166665</v>
      </c>
      <c r="S47" s="48">
        <v>35</v>
      </c>
    </row>
    <row r="48" spans="1:19" x14ac:dyDescent="0.35">
      <c r="A48" s="47" t="s">
        <v>101</v>
      </c>
      <c r="B48" s="48" t="s">
        <v>170</v>
      </c>
      <c r="C48" s="48" t="s">
        <v>32</v>
      </c>
      <c r="E48" s="48" t="s">
        <v>19</v>
      </c>
      <c r="F48" s="47" t="s">
        <v>116</v>
      </c>
      <c r="G48" s="49">
        <v>45398</v>
      </c>
      <c r="H48" s="47" t="s">
        <v>119</v>
      </c>
      <c r="I48" s="48" t="s">
        <v>34</v>
      </c>
      <c r="L48" s="48" t="b">
        <v>1</v>
      </c>
      <c r="M48" s="48">
        <v>0</v>
      </c>
      <c r="N48" s="47" t="s">
        <v>128</v>
      </c>
      <c r="O48" s="48" t="s">
        <v>171</v>
      </c>
      <c r="P48" s="48" t="s">
        <v>172</v>
      </c>
      <c r="Q48" s="48" t="s">
        <v>173</v>
      </c>
      <c r="R48" s="50">
        <v>45412.472604166665</v>
      </c>
      <c r="S48" s="48">
        <v>25</v>
      </c>
    </row>
    <row r="49" spans="1:19" x14ac:dyDescent="0.35">
      <c r="A49" s="47" t="s">
        <v>102</v>
      </c>
      <c r="B49" s="48" t="s">
        <v>170</v>
      </c>
      <c r="C49" s="48" t="s">
        <v>32</v>
      </c>
      <c r="E49" s="48" t="s">
        <v>37</v>
      </c>
      <c r="F49" s="47" t="s">
        <v>117</v>
      </c>
      <c r="G49" s="49">
        <v>45398</v>
      </c>
      <c r="H49" s="47" t="s">
        <v>119</v>
      </c>
      <c r="I49" s="48" t="s">
        <v>34</v>
      </c>
      <c r="L49" s="48" t="b">
        <v>1</v>
      </c>
      <c r="M49" s="48">
        <v>0</v>
      </c>
      <c r="N49" s="47" t="s">
        <v>128</v>
      </c>
      <c r="O49" s="48" t="s">
        <v>171</v>
      </c>
      <c r="P49" s="48" t="s">
        <v>172</v>
      </c>
      <c r="Q49" s="48" t="s">
        <v>173</v>
      </c>
      <c r="R49" s="50">
        <v>45412.472604166665</v>
      </c>
      <c r="S49" s="48">
        <v>15</v>
      </c>
    </row>
    <row r="50" spans="1:19" x14ac:dyDescent="0.35">
      <c r="A50" s="47" t="s">
        <v>254</v>
      </c>
      <c r="B50" s="48" t="s">
        <v>170</v>
      </c>
      <c r="C50" s="48" t="s">
        <v>32</v>
      </c>
      <c r="E50" s="48" t="s">
        <v>59</v>
      </c>
      <c r="F50" s="47" t="s">
        <v>103</v>
      </c>
      <c r="G50" s="49">
        <v>45405</v>
      </c>
      <c r="H50" s="47" t="s">
        <v>126</v>
      </c>
      <c r="I50" s="48" t="s">
        <v>60</v>
      </c>
      <c r="L50" s="48" t="b">
        <v>1</v>
      </c>
      <c r="M50" s="48">
        <v>0</v>
      </c>
      <c r="N50" s="47" t="s">
        <v>123</v>
      </c>
      <c r="O50" s="48" t="s">
        <v>171</v>
      </c>
      <c r="P50" s="48" t="s">
        <v>172</v>
      </c>
      <c r="Q50" s="48" t="s">
        <v>173</v>
      </c>
      <c r="R50" s="50">
        <v>45412.472604166665</v>
      </c>
      <c r="S50" s="48">
        <v>2</v>
      </c>
    </row>
    <row r="51" spans="1:19" x14ac:dyDescent="0.35">
      <c r="A51" s="47" t="s">
        <v>255</v>
      </c>
      <c r="B51" s="48" t="s">
        <v>170</v>
      </c>
      <c r="C51" s="48" t="s">
        <v>32</v>
      </c>
      <c r="E51" s="48" t="s">
        <v>36</v>
      </c>
      <c r="F51" s="47" t="s">
        <v>198</v>
      </c>
      <c r="G51" s="49">
        <v>45405</v>
      </c>
      <c r="H51" s="47" t="s">
        <v>126</v>
      </c>
      <c r="I51" s="48" t="s">
        <v>60</v>
      </c>
      <c r="L51" s="48" t="b">
        <v>1</v>
      </c>
      <c r="M51" s="48">
        <v>0</v>
      </c>
      <c r="N51" s="47" t="s">
        <v>123</v>
      </c>
      <c r="O51" s="48" t="s">
        <v>171</v>
      </c>
      <c r="P51" s="48" t="s">
        <v>172</v>
      </c>
      <c r="Q51" s="48" t="s">
        <v>173</v>
      </c>
      <c r="R51" s="50">
        <v>45412.472604166665</v>
      </c>
      <c r="S51" s="48">
        <v>1</v>
      </c>
    </row>
    <row r="52" spans="1:19" x14ac:dyDescent="0.35">
      <c r="A52" s="47" t="s">
        <v>256</v>
      </c>
      <c r="B52" s="48" t="s">
        <v>170</v>
      </c>
      <c r="C52" s="48" t="s">
        <v>32</v>
      </c>
      <c r="E52" s="48" t="s">
        <v>19</v>
      </c>
      <c r="F52" s="47" t="s">
        <v>198</v>
      </c>
      <c r="G52" s="49">
        <v>45405</v>
      </c>
      <c r="H52" s="47" t="s">
        <v>119</v>
      </c>
      <c r="I52" s="48" t="s">
        <v>34</v>
      </c>
      <c r="L52" s="48" t="b">
        <v>1</v>
      </c>
      <c r="M52" s="48">
        <v>0</v>
      </c>
      <c r="N52" s="47" t="s">
        <v>128</v>
      </c>
      <c r="O52" s="48" t="s">
        <v>171</v>
      </c>
      <c r="P52" s="48" t="s">
        <v>172</v>
      </c>
      <c r="Q52" s="48" t="s">
        <v>173</v>
      </c>
      <c r="R52" s="50">
        <v>45412.472604166665</v>
      </c>
      <c r="S52" s="48">
        <v>1</v>
      </c>
    </row>
    <row r="53" spans="1:19" x14ac:dyDescent="0.35">
      <c r="A53" s="47" t="s">
        <v>257</v>
      </c>
      <c r="B53" s="48" t="s">
        <v>170</v>
      </c>
      <c r="C53" s="48" t="s">
        <v>32</v>
      </c>
      <c r="E53" s="48" t="s">
        <v>37</v>
      </c>
      <c r="F53" s="47" t="s">
        <v>198</v>
      </c>
      <c r="G53" s="49">
        <v>45405</v>
      </c>
      <c r="H53" s="47" t="s">
        <v>119</v>
      </c>
      <c r="I53" s="48" t="s">
        <v>34</v>
      </c>
      <c r="L53" s="48" t="b">
        <v>1</v>
      </c>
      <c r="M53" s="48">
        <v>0</v>
      </c>
      <c r="N53" s="47" t="s">
        <v>128</v>
      </c>
      <c r="O53" s="48" t="s">
        <v>171</v>
      </c>
      <c r="P53" s="48" t="s">
        <v>172</v>
      </c>
      <c r="Q53" s="48" t="s">
        <v>173</v>
      </c>
      <c r="R53" s="50">
        <v>45412.472604166665</v>
      </c>
      <c r="S53" s="48">
        <v>1</v>
      </c>
    </row>
    <row r="54" spans="1:19" x14ac:dyDescent="0.35">
      <c r="A54" s="47" t="s">
        <v>216</v>
      </c>
      <c r="B54" s="48" t="s">
        <v>170</v>
      </c>
      <c r="C54" s="48" t="s">
        <v>32</v>
      </c>
      <c r="E54" s="48" t="s">
        <v>36</v>
      </c>
      <c r="F54" s="47" t="s">
        <v>198</v>
      </c>
      <c r="G54" s="49">
        <v>45405</v>
      </c>
      <c r="H54" s="47" t="s">
        <v>126</v>
      </c>
      <c r="I54" s="48" t="s">
        <v>60</v>
      </c>
      <c r="L54" s="48" t="b">
        <v>1</v>
      </c>
      <c r="M54" s="48">
        <v>0</v>
      </c>
      <c r="N54" s="47" t="s">
        <v>123</v>
      </c>
      <c r="O54" s="48" t="s">
        <v>171</v>
      </c>
      <c r="P54" s="48" t="s">
        <v>172</v>
      </c>
      <c r="Q54" s="48" t="s">
        <v>173</v>
      </c>
      <c r="R54" s="50">
        <v>45412.472604166665</v>
      </c>
      <c r="S54" s="48">
        <v>1</v>
      </c>
    </row>
    <row r="55" spans="1:19" x14ac:dyDescent="0.35">
      <c r="A55" s="47" t="s">
        <v>217</v>
      </c>
      <c r="B55" s="48" t="s">
        <v>170</v>
      </c>
      <c r="C55" s="48" t="s">
        <v>32</v>
      </c>
      <c r="E55" s="48" t="s">
        <v>59</v>
      </c>
      <c r="F55" s="47" t="s">
        <v>103</v>
      </c>
      <c r="G55" s="49">
        <v>45405</v>
      </c>
      <c r="H55" s="47" t="s">
        <v>126</v>
      </c>
      <c r="I55" s="48" t="s">
        <v>60</v>
      </c>
      <c r="L55" s="48" t="b">
        <v>1</v>
      </c>
      <c r="M55" s="48">
        <v>0</v>
      </c>
      <c r="N55" s="47" t="s">
        <v>123</v>
      </c>
      <c r="O55" s="48" t="s">
        <v>171</v>
      </c>
      <c r="P55" s="48" t="s">
        <v>172</v>
      </c>
      <c r="Q55" s="48" t="s">
        <v>173</v>
      </c>
      <c r="R55" s="50">
        <v>45412.472604166665</v>
      </c>
      <c r="S55" s="48">
        <v>2</v>
      </c>
    </row>
    <row r="56" spans="1:19" x14ac:dyDescent="0.35">
      <c r="A56" s="47" t="s">
        <v>218</v>
      </c>
      <c r="B56" s="48" t="s">
        <v>170</v>
      </c>
      <c r="C56" s="48" t="s">
        <v>32</v>
      </c>
      <c r="E56" s="48" t="s">
        <v>19</v>
      </c>
      <c r="F56" s="47" t="s">
        <v>198</v>
      </c>
      <c r="G56" s="49">
        <v>45405</v>
      </c>
      <c r="H56" s="47" t="s">
        <v>119</v>
      </c>
      <c r="I56" s="48" t="s">
        <v>34</v>
      </c>
      <c r="L56" s="48" t="b">
        <v>1</v>
      </c>
      <c r="M56" s="48">
        <v>0</v>
      </c>
      <c r="N56" s="47" t="s">
        <v>128</v>
      </c>
      <c r="O56" s="48" t="s">
        <v>171</v>
      </c>
      <c r="P56" s="48" t="s">
        <v>172</v>
      </c>
      <c r="Q56" s="48" t="s">
        <v>173</v>
      </c>
      <c r="R56" s="50">
        <v>45412.472604166665</v>
      </c>
      <c r="S56" s="48">
        <v>1</v>
      </c>
    </row>
    <row r="57" spans="1:19" x14ac:dyDescent="0.35">
      <c r="A57" s="47" t="s">
        <v>219</v>
      </c>
      <c r="B57" s="48" t="s">
        <v>170</v>
      </c>
      <c r="C57" s="48" t="s">
        <v>32</v>
      </c>
      <c r="E57" s="48" t="s">
        <v>37</v>
      </c>
      <c r="F57" s="47" t="s">
        <v>198</v>
      </c>
      <c r="G57" s="49">
        <v>45405</v>
      </c>
      <c r="H57" s="47" t="s">
        <v>119</v>
      </c>
      <c r="I57" s="48" t="s">
        <v>34</v>
      </c>
      <c r="L57" s="48" t="b">
        <v>1</v>
      </c>
      <c r="M57" s="48">
        <v>0</v>
      </c>
      <c r="N57" s="47" t="s">
        <v>128</v>
      </c>
      <c r="O57" s="48" t="s">
        <v>171</v>
      </c>
      <c r="P57" s="48" t="s">
        <v>172</v>
      </c>
      <c r="Q57" s="48" t="s">
        <v>173</v>
      </c>
      <c r="R57" s="50">
        <v>45412.472604166665</v>
      </c>
      <c r="S57" s="48">
        <v>1</v>
      </c>
    </row>
    <row r="58" spans="1:19" x14ac:dyDescent="0.35">
      <c r="A58" s="47" t="s">
        <v>205</v>
      </c>
      <c r="B58" s="48" t="s">
        <v>170</v>
      </c>
      <c r="C58" s="48" t="s">
        <v>32</v>
      </c>
      <c r="E58" s="48" t="s">
        <v>36</v>
      </c>
      <c r="F58" s="47" t="s">
        <v>198</v>
      </c>
      <c r="G58" s="49">
        <v>45405</v>
      </c>
      <c r="H58" s="47" t="s">
        <v>126</v>
      </c>
      <c r="I58" s="48" t="s">
        <v>60</v>
      </c>
      <c r="L58" s="48" t="b">
        <v>1</v>
      </c>
      <c r="M58" s="48">
        <v>0</v>
      </c>
      <c r="N58" s="47" t="s">
        <v>123</v>
      </c>
      <c r="O58" s="48" t="s">
        <v>171</v>
      </c>
      <c r="P58" s="48" t="s">
        <v>172</v>
      </c>
      <c r="Q58" s="48" t="s">
        <v>173</v>
      </c>
      <c r="R58" s="50">
        <v>45412.472604166665</v>
      </c>
      <c r="S58" s="48">
        <v>1</v>
      </c>
    </row>
    <row r="59" spans="1:19" x14ac:dyDescent="0.35">
      <c r="A59" s="47" t="s">
        <v>206</v>
      </c>
      <c r="B59" s="48" t="s">
        <v>170</v>
      </c>
      <c r="C59" s="48" t="s">
        <v>32</v>
      </c>
      <c r="E59" s="48" t="s">
        <v>59</v>
      </c>
      <c r="F59" s="47" t="s">
        <v>103</v>
      </c>
      <c r="G59" s="49">
        <v>45405</v>
      </c>
      <c r="H59" s="47" t="s">
        <v>126</v>
      </c>
      <c r="I59" s="48" t="s">
        <v>60</v>
      </c>
      <c r="L59" s="48" t="b">
        <v>1</v>
      </c>
      <c r="M59" s="48">
        <v>0</v>
      </c>
      <c r="N59" s="47" t="s">
        <v>123</v>
      </c>
      <c r="O59" s="48" t="s">
        <v>171</v>
      </c>
      <c r="P59" s="48" t="s">
        <v>172</v>
      </c>
      <c r="Q59" s="48" t="s">
        <v>173</v>
      </c>
      <c r="R59" s="50">
        <v>45412.472604166665</v>
      </c>
      <c r="S59" s="48">
        <v>2</v>
      </c>
    </row>
    <row r="60" spans="1:19" x14ac:dyDescent="0.35">
      <c r="A60" s="47" t="s">
        <v>207</v>
      </c>
      <c r="B60" s="48" t="s">
        <v>170</v>
      </c>
      <c r="C60" s="48" t="s">
        <v>32</v>
      </c>
      <c r="E60" s="48" t="s">
        <v>19</v>
      </c>
      <c r="F60" s="47" t="s">
        <v>198</v>
      </c>
      <c r="G60" s="49">
        <v>45405</v>
      </c>
      <c r="H60" s="47" t="s">
        <v>119</v>
      </c>
      <c r="I60" s="48" t="s">
        <v>34</v>
      </c>
      <c r="L60" s="48" t="b">
        <v>1</v>
      </c>
      <c r="M60" s="48">
        <v>0</v>
      </c>
      <c r="N60" s="47" t="s">
        <v>128</v>
      </c>
      <c r="O60" s="48" t="s">
        <v>171</v>
      </c>
      <c r="P60" s="48" t="s">
        <v>172</v>
      </c>
      <c r="Q60" s="48" t="s">
        <v>173</v>
      </c>
      <c r="R60" s="50">
        <v>45412.472604166665</v>
      </c>
      <c r="S60" s="48">
        <v>1</v>
      </c>
    </row>
    <row r="61" spans="1:19" x14ac:dyDescent="0.35">
      <c r="A61" s="47" t="s">
        <v>208</v>
      </c>
      <c r="B61" s="48" t="s">
        <v>170</v>
      </c>
      <c r="C61" s="48" t="s">
        <v>32</v>
      </c>
      <c r="E61" s="48" t="s">
        <v>37</v>
      </c>
      <c r="F61" s="47" t="s">
        <v>198</v>
      </c>
      <c r="G61" s="49">
        <v>45405</v>
      </c>
      <c r="H61" s="47" t="s">
        <v>119</v>
      </c>
      <c r="I61" s="48" t="s">
        <v>34</v>
      </c>
      <c r="L61" s="48" t="b">
        <v>1</v>
      </c>
      <c r="M61" s="48">
        <v>0</v>
      </c>
      <c r="N61" s="47" t="s">
        <v>128</v>
      </c>
      <c r="O61" s="48" t="s">
        <v>171</v>
      </c>
      <c r="P61" s="48" t="s">
        <v>172</v>
      </c>
      <c r="Q61" s="48" t="s">
        <v>173</v>
      </c>
      <c r="R61" s="50">
        <v>45412.472604166665</v>
      </c>
      <c r="S61" s="48">
        <v>1</v>
      </c>
    </row>
    <row r="62" spans="1:19" x14ac:dyDescent="0.35">
      <c r="A62" s="47" t="s">
        <v>148</v>
      </c>
      <c r="B62" s="48" t="s">
        <v>170</v>
      </c>
      <c r="C62" s="48" t="s">
        <v>32</v>
      </c>
      <c r="E62" s="48" t="s">
        <v>59</v>
      </c>
      <c r="F62" s="47" t="s">
        <v>113</v>
      </c>
      <c r="G62" s="49">
        <v>45405</v>
      </c>
      <c r="H62" s="47" t="s">
        <v>126</v>
      </c>
      <c r="I62" s="48" t="s">
        <v>60</v>
      </c>
      <c r="L62" s="48" t="b">
        <v>1</v>
      </c>
      <c r="M62" s="48">
        <v>0</v>
      </c>
      <c r="N62" s="47" t="s">
        <v>123</v>
      </c>
      <c r="O62" s="48" t="s">
        <v>171</v>
      </c>
      <c r="P62" s="48" t="s">
        <v>172</v>
      </c>
      <c r="Q62" s="48" t="s">
        <v>173</v>
      </c>
      <c r="R62" s="50">
        <v>45412.472604166665</v>
      </c>
      <c r="S62" s="48">
        <v>20</v>
      </c>
    </row>
    <row r="63" spans="1:19" x14ac:dyDescent="0.35">
      <c r="A63" s="47" t="s">
        <v>149</v>
      </c>
      <c r="B63" s="48" t="s">
        <v>170</v>
      </c>
      <c r="C63" s="48" t="s">
        <v>32</v>
      </c>
      <c r="E63" s="48" t="s">
        <v>19</v>
      </c>
      <c r="F63" s="47" t="s">
        <v>113</v>
      </c>
      <c r="G63" s="49">
        <v>45405</v>
      </c>
      <c r="H63" s="47" t="s">
        <v>119</v>
      </c>
      <c r="I63" s="48" t="s">
        <v>34</v>
      </c>
      <c r="L63" s="48" t="b">
        <v>1</v>
      </c>
      <c r="M63" s="48">
        <v>0</v>
      </c>
      <c r="N63" s="47" t="s">
        <v>128</v>
      </c>
      <c r="O63" s="48" t="s">
        <v>171</v>
      </c>
      <c r="P63" s="48" t="s">
        <v>172</v>
      </c>
      <c r="Q63" s="48" t="s">
        <v>173</v>
      </c>
      <c r="R63" s="50">
        <v>45412.472604166665</v>
      </c>
      <c r="S63" s="48">
        <v>20</v>
      </c>
    </row>
    <row r="64" spans="1:19" x14ac:dyDescent="0.35">
      <c r="A64" s="47" t="s">
        <v>150</v>
      </c>
      <c r="B64" s="48" t="s">
        <v>170</v>
      </c>
      <c r="C64" s="48" t="s">
        <v>32</v>
      </c>
      <c r="E64" s="48" t="s">
        <v>36</v>
      </c>
      <c r="F64" s="47" t="s">
        <v>113</v>
      </c>
      <c r="G64" s="49">
        <v>45405</v>
      </c>
      <c r="H64" s="47" t="s">
        <v>126</v>
      </c>
      <c r="I64" s="48" t="s">
        <v>60</v>
      </c>
      <c r="L64" s="48" t="b">
        <v>1</v>
      </c>
      <c r="M64" s="48">
        <v>0</v>
      </c>
      <c r="N64" s="47" t="s">
        <v>123</v>
      </c>
      <c r="O64" s="48" t="s">
        <v>171</v>
      </c>
      <c r="P64" s="48" t="s">
        <v>172</v>
      </c>
      <c r="Q64" s="48" t="s">
        <v>173</v>
      </c>
      <c r="R64" s="50">
        <v>45412.472604166665</v>
      </c>
      <c r="S64" s="48">
        <v>20</v>
      </c>
    </row>
    <row r="65" spans="1:19" x14ac:dyDescent="0.35">
      <c r="A65" s="47" t="s">
        <v>151</v>
      </c>
      <c r="B65" s="48" t="s">
        <v>170</v>
      </c>
      <c r="C65" s="48" t="s">
        <v>32</v>
      </c>
      <c r="E65" s="48" t="s">
        <v>37</v>
      </c>
      <c r="F65" s="47" t="s">
        <v>113</v>
      </c>
      <c r="G65" s="49">
        <v>45405</v>
      </c>
      <c r="H65" s="47" t="s">
        <v>119</v>
      </c>
      <c r="I65" s="48" t="s">
        <v>34</v>
      </c>
      <c r="L65" s="48" t="b">
        <v>1</v>
      </c>
      <c r="M65" s="48">
        <v>0</v>
      </c>
      <c r="N65" s="47" t="s">
        <v>128</v>
      </c>
      <c r="O65" s="48" t="s">
        <v>171</v>
      </c>
      <c r="P65" s="48" t="s">
        <v>172</v>
      </c>
      <c r="Q65" s="48" t="s">
        <v>173</v>
      </c>
      <c r="R65" s="50">
        <v>45412.472604166665</v>
      </c>
      <c r="S65" s="48">
        <v>20</v>
      </c>
    </row>
    <row r="66" spans="1:19" x14ac:dyDescent="0.35">
      <c r="A66" s="47" t="s">
        <v>152</v>
      </c>
      <c r="B66" s="48" t="s">
        <v>170</v>
      </c>
      <c r="C66" s="48" t="s">
        <v>32</v>
      </c>
      <c r="E66" s="48" t="s">
        <v>59</v>
      </c>
      <c r="F66" s="47" t="s">
        <v>113</v>
      </c>
      <c r="G66" s="49">
        <v>45405</v>
      </c>
      <c r="H66" s="47" t="s">
        <v>126</v>
      </c>
      <c r="I66" s="48" t="s">
        <v>60</v>
      </c>
      <c r="L66" s="48" t="b">
        <v>1</v>
      </c>
      <c r="M66" s="48">
        <v>0</v>
      </c>
      <c r="N66" s="47" t="s">
        <v>123</v>
      </c>
      <c r="O66" s="48" t="s">
        <v>171</v>
      </c>
      <c r="P66" s="48" t="s">
        <v>172</v>
      </c>
      <c r="Q66" s="48" t="s">
        <v>173</v>
      </c>
      <c r="R66" s="50">
        <v>45412.472604166665</v>
      </c>
      <c r="S66" s="48">
        <v>20</v>
      </c>
    </row>
    <row r="67" spans="1:19" x14ac:dyDescent="0.35">
      <c r="A67" s="47" t="s">
        <v>153</v>
      </c>
      <c r="B67" s="48" t="s">
        <v>170</v>
      </c>
      <c r="C67" s="48" t="s">
        <v>32</v>
      </c>
      <c r="E67" s="48" t="s">
        <v>19</v>
      </c>
      <c r="F67" s="47" t="s">
        <v>113</v>
      </c>
      <c r="G67" s="49">
        <v>45405</v>
      </c>
      <c r="H67" s="47" t="s">
        <v>119</v>
      </c>
      <c r="I67" s="48" t="s">
        <v>34</v>
      </c>
      <c r="L67" s="48" t="b">
        <v>1</v>
      </c>
      <c r="M67" s="48">
        <v>0</v>
      </c>
      <c r="N67" s="47" t="s">
        <v>128</v>
      </c>
      <c r="O67" s="48" t="s">
        <v>171</v>
      </c>
      <c r="P67" s="48" t="s">
        <v>172</v>
      </c>
      <c r="Q67" s="48" t="s">
        <v>173</v>
      </c>
      <c r="R67" s="50">
        <v>45412.472604166665</v>
      </c>
      <c r="S67" s="48">
        <v>20</v>
      </c>
    </row>
    <row r="68" spans="1:19" x14ac:dyDescent="0.35">
      <c r="A68" s="47" t="s">
        <v>154</v>
      </c>
      <c r="B68" s="48" t="s">
        <v>170</v>
      </c>
      <c r="C68" s="48" t="s">
        <v>32</v>
      </c>
      <c r="E68" s="48" t="s">
        <v>36</v>
      </c>
      <c r="F68" s="47" t="s">
        <v>113</v>
      </c>
      <c r="G68" s="49">
        <v>45405</v>
      </c>
      <c r="H68" s="47" t="s">
        <v>126</v>
      </c>
      <c r="I68" s="48" t="s">
        <v>60</v>
      </c>
      <c r="L68" s="48" t="b">
        <v>1</v>
      </c>
      <c r="M68" s="48">
        <v>0</v>
      </c>
      <c r="N68" s="47" t="s">
        <v>123</v>
      </c>
      <c r="O68" s="48" t="s">
        <v>171</v>
      </c>
      <c r="P68" s="48" t="s">
        <v>172</v>
      </c>
      <c r="Q68" s="48" t="s">
        <v>173</v>
      </c>
      <c r="R68" s="50">
        <v>45412.472604166665</v>
      </c>
      <c r="S68" s="48">
        <v>20</v>
      </c>
    </row>
    <row r="69" spans="1:19" x14ac:dyDescent="0.35">
      <c r="A69" s="47" t="s">
        <v>155</v>
      </c>
      <c r="B69" s="48" t="s">
        <v>170</v>
      </c>
      <c r="C69" s="48" t="s">
        <v>32</v>
      </c>
      <c r="E69" s="48" t="s">
        <v>37</v>
      </c>
      <c r="F69" s="47" t="s">
        <v>113</v>
      </c>
      <c r="G69" s="49">
        <v>45405</v>
      </c>
      <c r="H69" s="47" t="s">
        <v>119</v>
      </c>
      <c r="I69" s="48" t="s">
        <v>34</v>
      </c>
      <c r="L69" s="48" t="b">
        <v>1</v>
      </c>
      <c r="M69" s="48">
        <v>0</v>
      </c>
      <c r="N69" s="47" t="s">
        <v>128</v>
      </c>
      <c r="O69" s="48" t="s">
        <v>171</v>
      </c>
      <c r="P69" s="48" t="s">
        <v>172</v>
      </c>
      <c r="Q69" s="48" t="s">
        <v>173</v>
      </c>
      <c r="R69" s="50">
        <v>45412.472604166665</v>
      </c>
      <c r="S69" s="48">
        <v>20</v>
      </c>
    </row>
    <row r="70" spans="1:19" x14ac:dyDescent="0.35">
      <c r="A70" s="47" t="s">
        <v>140</v>
      </c>
      <c r="B70" s="48" t="s">
        <v>170</v>
      </c>
      <c r="C70" s="48" t="s">
        <v>32</v>
      </c>
      <c r="E70" s="48" t="s">
        <v>59</v>
      </c>
      <c r="F70" s="47" t="s">
        <v>114</v>
      </c>
      <c r="G70" s="49">
        <v>45405</v>
      </c>
      <c r="H70" s="47" t="s">
        <v>126</v>
      </c>
      <c r="I70" s="48" t="s">
        <v>60</v>
      </c>
      <c r="L70" s="48" t="b">
        <v>1</v>
      </c>
      <c r="M70" s="48">
        <v>0</v>
      </c>
      <c r="N70" s="47" t="s">
        <v>123</v>
      </c>
      <c r="O70" s="48" t="s">
        <v>171</v>
      </c>
      <c r="P70" s="48" t="s">
        <v>172</v>
      </c>
      <c r="Q70" s="48" t="s">
        <v>173</v>
      </c>
      <c r="R70" s="50">
        <v>45412.472604166665</v>
      </c>
      <c r="S70" s="48">
        <v>45</v>
      </c>
    </row>
    <row r="71" spans="1:19" x14ac:dyDescent="0.35">
      <c r="A71" s="47" t="s">
        <v>141</v>
      </c>
      <c r="B71" s="48" t="s">
        <v>170</v>
      </c>
      <c r="C71" s="48" t="s">
        <v>32</v>
      </c>
      <c r="E71" s="48" t="s">
        <v>19</v>
      </c>
      <c r="F71" s="47" t="s">
        <v>115</v>
      </c>
      <c r="G71" s="49">
        <v>45405</v>
      </c>
      <c r="H71" s="47" t="s">
        <v>119</v>
      </c>
      <c r="I71" s="48" t="s">
        <v>34</v>
      </c>
      <c r="L71" s="48" t="b">
        <v>1</v>
      </c>
      <c r="M71" s="48">
        <v>0</v>
      </c>
      <c r="N71" s="47" t="s">
        <v>128</v>
      </c>
      <c r="O71" s="48" t="s">
        <v>171</v>
      </c>
      <c r="P71" s="48" t="s">
        <v>172</v>
      </c>
      <c r="Q71" s="48" t="s">
        <v>173</v>
      </c>
      <c r="R71" s="50">
        <v>45412.472604166665</v>
      </c>
      <c r="S71" s="48">
        <v>35</v>
      </c>
    </row>
    <row r="72" spans="1:19" x14ac:dyDescent="0.35">
      <c r="A72" s="47" t="s">
        <v>142</v>
      </c>
      <c r="B72" s="48" t="s">
        <v>170</v>
      </c>
      <c r="C72" s="48" t="s">
        <v>32</v>
      </c>
      <c r="E72" s="48" t="s">
        <v>36</v>
      </c>
      <c r="F72" s="47" t="s">
        <v>116</v>
      </c>
      <c r="G72" s="49">
        <v>45405</v>
      </c>
      <c r="H72" s="47" t="s">
        <v>126</v>
      </c>
      <c r="I72" s="48" t="s">
        <v>60</v>
      </c>
      <c r="L72" s="48" t="b">
        <v>1</v>
      </c>
      <c r="M72" s="48">
        <v>0</v>
      </c>
      <c r="N72" s="47" t="s">
        <v>123</v>
      </c>
      <c r="O72" s="48" t="s">
        <v>171</v>
      </c>
      <c r="P72" s="48" t="s">
        <v>172</v>
      </c>
      <c r="Q72" s="48" t="s">
        <v>173</v>
      </c>
      <c r="R72" s="50">
        <v>45412.472604166665</v>
      </c>
      <c r="S72" s="48">
        <v>25</v>
      </c>
    </row>
    <row r="73" spans="1:19" x14ac:dyDescent="0.35">
      <c r="A73" s="47" t="s">
        <v>143</v>
      </c>
      <c r="B73" s="48" t="s">
        <v>170</v>
      </c>
      <c r="C73" s="48" t="s">
        <v>32</v>
      </c>
      <c r="E73" s="48" t="s">
        <v>37</v>
      </c>
      <c r="F73" s="47" t="s">
        <v>117</v>
      </c>
      <c r="G73" s="49">
        <v>45405</v>
      </c>
      <c r="H73" s="47" t="s">
        <v>119</v>
      </c>
      <c r="I73" s="48" t="s">
        <v>34</v>
      </c>
      <c r="L73" s="48" t="b">
        <v>1</v>
      </c>
      <c r="M73" s="48">
        <v>0</v>
      </c>
      <c r="N73" s="47" t="s">
        <v>128</v>
      </c>
      <c r="O73" s="48" t="s">
        <v>171</v>
      </c>
      <c r="P73" s="48" t="s">
        <v>172</v>
      </c>
      <c r="Q73" s="48" t="s">
        <v>173</v>
      </c>
      <c r="R73" s="50">
        <v>45412.472604166665</v>
      </c>
      <c r="S73" s="48">
        <v>15</v>
      </c>
    </row>
    <row r="74" spans="1:19" x14ac:dyDescent="0.35">
      <c r="A74" s="47" t="s">
        <v>220</v>
      </c>
      <c r="B74" s="48" t="s">
        <v>170</v>
      </c>
      <c r="C74" s="48" t="s">
        <v>32</v>
      </c>
      <c r="E74" s="48" t="s">
        <v>19</v>
      </c>
      <c r="F74" s="47" t="s">
        <v>221</v>
      </c>
      <c r="G74" s="49">
        <v>45409</v>
      </c>
      <c r="H74" s="47" t="s">
        <v>119</v>
      </c>
      <c r="I74" s="48" t="s">
        <v>34</v>
      </c>
      <c r="L74" s="48" t="b">
        <v>1</v>
      </c>
      <c r="M74" s="48">
        <v>0</v>
      </c>
      <c r="N74" s="47" t="s">
        <v>128</v>
      </c>
      <c r="O74" s="48" t="s">
        <v>171</v>
      </c>
      <c r="P74" s="48" t="s">
        <v>172</v>
      </c>
      <c r="Q74" s="48" t="s">
        <v>173</v>
      </c>
      <c r="R74" s="50">
        <v>45412.472604166665</v>
      </c>
      <c r="S74" s="48">
        <v>12</v>
      </c>
    </row>
    <row r="75" spans="1:19" x14ac:dyDescent="0.35">
      <c r="A75" s="47" t="s">
        <v>258</v>
      </c>
      <c r="B75" s="48" t="s">
        <v>170</v>
      </c>
      <c r="C75" s="48" t="s">
        <v>32</v>
      </c>
      <c r="E75" s="48" t="s">
        <v>36</v>
      </c>
      <c r="F75" s="47" t="s">
        <v>259</v>
      </c>
      <c r="G75" s="49">
        <v>45411</v>
      </c>
      <c r="H75" s="47" t="s">
        <v>119</v>
      </c>
      <c r="I75" s="48" t="s">
        <v>34</v>
      </c>
      <c r="L75" s="48" t="b">
        <v>1</v>
      </c>
      <c r="M75" s="48">
        <v>0</v>
      </c>
      <c r="N75" s="47" t="s">
        <v>128</v>
      </c>
      <c r="O75" s="48" t="s">
        <v>171</v>
      </c>
      <c r="P75" s="48" t="s">
        <v>172</v>
      </c>
      <c r="Q75" s="48" t="s">
        <v>173</v>
      </c>
      <c r="R75" s="50">
        <v>45412.472604166665</v>
      </c>
      <c r="S75" s="48">
        <v>13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"/>
  <sheetViews>
    <sheetView workbookViewId="0">
      <selection activeCell="D22" sqref="D22"/>
    </sheetView>
  </sheetViews>
  <sheetFormatPr defaultRowHeight="14.5" x14ac:dyDescent="0.35"/>
  <cols>
    <col min="1" max="1" width="19.453125" style="47" customWidth="1"/>
    <col min="2" max="2" width="21.26953125" style="48" customWidth="1"/>
    <col min="3" max="3" width="27.08984375" style="48" customWidth="1"/>
    <col min="4" max="4" width="39.36328125" style="48" customWidth="1"/>
    <col min="5" max="5" width="24.90625" style="48" customWidth="1"/>
    <col min="6" max="16384" width="8.7265625" style="48"/>
  </cols>
  <sheetData>
    <row r="1" spans="1:5" s="46" customFormat="1" x14ac:dyDescent="0.35">
      <c r="A1" s="45" t="s">
        <v>28</v>
      </c>
      <c r="B1" s="46" t="s">
        <v>29</v>
      </c>
      <c r="C1" s="46" t="s">
        <v>30</v>
      </c>
      <c r="D1" s="46" t="s">
        <v>31</v>
      </c>
      <c r="E1" s="46" t="s">
        <v>13</v>
      </c>
    </row>
    <row r="2" spans="1:5" x14ac:dyDescent="0.35">
      <c r="A2" s="47" t="s">
        <v>38</v>
      </c>
      <c r="B2" s="48" t="s">
        <v>32</v>
      </c>
      <c r="C2" s="48" t="s">
        <v>36</v>
      </c>
      <c r="D2" s="48" t="s">
        <v>34</v>
      </c>
      <c r="E2" s="50">
        <v>45411.523206018515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1:N20"/>
  <sheetViews>
    <sheetView workbookViewId="0">
      <selection activeCell="C1" sqref="C1"/>
    </sheetView>
  </sheetViews>
  <sheetFormatPr defaultColWidth="9.1796875" defaultRowHeight="14.5" x14ac:dyDescent="0.35"/>
  <cols>
    <col min="1" max="2" width="9.1796875" style="5"/>
    <col min="3" max="3" width="18.26953125" style="5" customWidth="1"/>
    <col min="4" max="4" width="37.7265625" style="5" customWidth="1"/>
    <col min="5" max="16384" width="9.1796875" style="5"/>
  </cols>
  <sheetData>
    <row r="1" spans="3:14" ht="18.5" x14ac:dyDescent="0.35">
      <c r="C1" s="51" t="s">
        <v>18</v>
      </c>
    </row>
    <row r="2" spans="3:14" ht="15" thickBot="1" x14ac:dyDescent="0.4"/>
    <row r="3" spans="3:14" ht="15" thickBot="1" x14ac:dyDescent="0.4">
      <c r="C3" s="10"/>
      <c r="D3" s="2"/>
      <c r="E3" s="2"/>
      <c r="F3" s="2"/>
      <c r="G3" s="2"/>
      <c r="H3" s="11"/>
    </row>
    <row r="4" spans="3:14" ht="15" thickBot="1" x14ac:dyDescent="0.4">
      <c r="C4" s="12" t="s">
        <v>15</v>
      </c>
      <c r="D4" s="22" t="s">
        <v>32</v>
      </c>
      <c r="E4" s="20"/>
      <c r="F4" s="13"/>
      <c r="G4" s="13"/>
      <c r="H4" s="14"/>
      <c r="J4" s="13"/>
      <c r="K4" s="13"/>
      <c r="L4" s="13"/>
    </row>
    <row r="5" spans="3:14" ht="15" thickBot="1" x14ac:dyDescent="0.4">
      <c r="C5" s="15"/>
      <c r="D5" s="13"/>
      <c r="E5" s="13"/>
      <c r="F5" s="13"/>
      <c r="G5" s="13"/>
      <c r="H5" s="14"/>
      <c r="J5" s="13"/>
      <c r="K5" s="13"/>
      <c r="L5" s="13"/>
    </row>
    <row r="6" spans="3:14" ht="15" thickBot="1" x14ac:dyDescent="0.4">
      <c r="C6" s="16" t="s">
        <v>43</v>
      </c>
      <c r="D6" s="21" t="s">
        <v>37</v>
      </c>
      <c r="E6" s="20"/>
      <c r="F6" s="13"/>
      <c r="G6" s="13"/>
      <c r="H6" s="14"/>
      <c r="J6" s="13"/>
      <c r="K6" s="13"/>
      <c r="L6" s="13"/>
    </row>
    <row r="7" spans="3:14" ht="15" thickBot="1" x14ac:dyDescent="0.4">
      <c r="C7" s="15"/>
      <c r="D7" s="13"/>
      <c r="E7" s="13"/>
      <c r="F7" s="13"/>
      <c r="G7" s="13"/>
      <c r="H7" s="14"/>
      <c r="J7" s="13"/>
      <c r="K7" s="13"/>
      <c r="L7" s="13"/>
    </row>
    <row r="8" spans="3:14" ht="15" thickBot="1" x14ac:dyDescent="0.4">
      <c r="C8" s="16" t="s">
        <v>16</v>
      </c>
      <c r="D8" s="21" t="s">
        <v>20</v>
      </c>
      <c r="E8" s="20"/>
      <c r="F8" s="13"/>
      <c r="G8" s="13"/>
      <c r="H8" s="14"/>
      <c r="J8" s="13"/>
      <c r="K8" s="13"/>
      <c r="L8" s="13"/>
    </row>
    <row r="9" spans="3:14" ht="15" thickBot="1" x14ac:dyDescent="0.4">
      <c r="C9" s="15"/>
      <c r="D9" s="13"/>
      <c r="E9" s="13"/>
      <c r="F9" s="13"/>
      <c r="G9" s="13"/>
      <c r="H9" s="14"/>
      <c r="J9" s="13"/>
      <c r="K9" s="13"/>
      <c r="L9" s="13"/>
    </row>
    <row r="10" spans="3:14" ht="15" thickBot="1" x14ac:dyDescent="0.4">
      <c r="C10" s="16" t="s">
        <v>17</v>
      </c>
      <c r="D10" s="21">
        <v>8</v>
      </c>
      <c r="E10" s="20"/>
      <c r="F10" s="13"/>
      <c r="G10" s="13"/>
      <c r="H10" s="14"/>
      <c r="J10" s="13"/>
      <c r="K10" s="13"/>
      <c r="L10" s="13"/>
    </row>
    <row r="11" spans="3:14" x14ac:dyDescent="0.35">
      <c r="C11" s="16"/>
      <c r="D11" s="13"/>
      <c r="E11" s="13"/>
      <c r="F11" s="13"/>
      <c r="G11" s="13"/>
      <c r="H11" s="14"/>
      <c r="J11" s="13"/>
      <c r="K11" s="13"/>
      <c r="L11" s="13"/>
    </row>
    <row r="12" spans="3:14" x14ac:dyDescent="0.35">
      <c r="C12" s="15"/>
      <c r="D12" s="13"/>
      <c r="E12" s="13"/>
      <c r="F12" s="13"/>
      <c r="G12" s="13"/>
      <c r="H12" s="14"/>
      <c r="J12" s="13"/>
      <c r="K12" s="13"/>
      <c r="L12" s="13"/>
    </row>
    <row r="13" spans="3:14" ht="15" thickBot="1" x14ac:dyDescent="0.4">
      <c r="C13" s="17"/>
      <c r="D13" s="18"/>
      <c r="E13" s="18"/>
      <c r="F13" s="18"/>
      <c r="G13" s="18"/>
      <c r="H13" s="19"/>
      <c r="J13" s="13"/>
      <c r="K13" s="13"/>
      <c r="L13" s="24"/>
      <c r="M13" s="23"/>
      <c r="N13" s="23"/>
    </row>
    <row r="14" spans="3:14" x14ac:dyDescent="0.35">
      <c r="L14" s="23"/>
      <c r="M14" s="23"/>
      <c r="N14" s="23"/>
    </row>
    <row r="15" spans="3:14" x14ac:dyDescent="0.35">
      <c r="L15" s="23"/>
      <c r="M15" s="23"/>
      <c r="N15" s="23"/>
    </row>
    <row r="16" spans="3:14" x14ac:dyDescent="0.35">
      <c r="L16" s="23"/>
      <c r="M16" s="23"/>
      <c r="N16" s="23"/>
    </row>
    <row r="17" spans="12:14" x14ac:dyDescent="0.35">
      <c r="L17" s="23"/>
      <c r="M17" s="23"/>
      <c r="N17" s="23"/>
    </row>
    <row r="18" spans="12:14" x14ac:dyDescent="0.35">
      <c r="L18" s="23"/>
      <c r="M18" s="23"/>
      <c r="N18" s="23"/>
    </row>
    <row r="19" spans="12:14" x14ac:dyDescent="0.35">
      <c r="L19" s="23"/>
      <c r="M19" s="23"/>
      <c r="N19" s="23"/>
    </row>
    <row r="20" spans="12:14" x14ac:dyDescent="0.35">
      <c r="L20" s="23"/>
      <c r="M20" s="23"/>
      <c r="N20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TimeLog.AddTimeLog">
                <anchor moveWithCells="1" sizeWithCells="1">
                  <from>
                    <xdr:col>3</xdr:col>
                    <xdr:colOff>133350</xdr:colOff>
                    <xdr:row>11</xdr:row>
                    <xdr:rowOff>76200</xdr:rowOff>
                  </from>
                  <to>
                    <xdr:col>5</xdr:col>
                    <xdr:colOff>184150</xdr:colOff>
                    <xdr:row>12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12"/>
  <sheetViews>
    <sheetView workbookViewId="0">
      <selection activeCell="F9" sqref="F9"/>
    </sheetView>
  </sheetViews>
  <sheetFormatPr defaultRowHeight="14.5" x14ac:dyDescent="0.35"/>
  <cols>
    <col min="1" max="1" width="8.7265625" style="5"/>
    <col min="2" max="2" width="17.36328125" style="5" customWidth="1"/>
    <col min="3" max="3" width="5.08984375" style="5" customWidth="1"/>
    <col min="4" max="4" width="37.453125" style="5" customWidth="1"/>
    <col min="5" max="5" width="5.26953125" style="5" customWidth="1"/>
    <col min="6" max="6" width="20.7265625" style="5" customWidth="1"/>
    <col min="7" max="7" width="6.1796875" style="5" customWidth="1"/>
    <col min="8" max="8" width="19.26953125" style="5" customWidth="1"/>
    <col min="9" max="9" width="5.90625" style="5" customWidth="1"/>
    <col min="10" max="10" width="22.1796875" style="5" customWidth="1"/>
    <col min="11" max="11" width="8.7265625" style="5"/>
    <col min="12" max="12" width="20.1796875" style="5" customWidth="1"/>
    <col min="13" max="16384" width="8.7265625" style="5"/>
  </cols>
  <sheetData>
    <row r="1" spans="1:15" ht="32.5" customHeight="1" thickBot="1" x14ac:dyDescent="0.4">
      <c r="B1" s="51" t="s">
        <v>44</v>
      </c>
      <c r="D1" s="28" t="s">
        <v>45</v>
      </c>
      <c r="F1" s="26" t="s">
        <v>193</v>
      </c>
    </row>
    <row r="2" spans="1:15" ht="23" customHeight="1" thickBot="1" x14ac:dyDescent="0.4">
      <c r="A2" s="28" t="s">
        <v>39</v>
      </c>
      <c r="B2" s="28" t="s">
        <v>40</v>
      </c>
      <c r="D2" s="28" t="s">
        <v>31</v>
      </c>
      <c r="F2" s="28" t="s">
        <v>30</v>
      </c>
      <c r="H2" s="28" t="s">
        <v>41</v>
      </c>
      <c r="J2" s="28" t="s">
        <v>35</v>
      </c>
    </row>
    <row r="3" spans="1:15" ht="15" thickBot="1" x14ac:dyDescent="0.4">
      <c r="A3" s="27">
        <v>1</v>
      </c>
      <c r="B3" s="25" t="s">
        <v>32</v>
      </c>
      <c r="C3" s="13"/>
      <c r="D3" s="25" t="s">
        <v>34</v>
      </c>
      <c r="E3" s="13"/>
      <c r="F3" s="25" t="s">
        <v>37</v>
      </c>
      <c r="H3" s="25" t="s">
        <v>46</v>
      </c>
      <c r="I3" s="13"/>
      <c r="J3" s="25">
        <v>20</v>
      </c>
      <c r="K3" s="13"/>
      <c r="L3" s="13"/>
      <c r="N3" s="13"/>
      <c r="O3" s="13"/>
    </row>
    <row r="4" spans="1:15" ht="15" thickBot="1" x14ac:dyDescent="0.4"/>
    <row r="5" spans="1:15" ht="15" thickBot="1" x14ac:dyDescent="0.4">
      <c r="A5" s="25">
        <v>2</v>
      </c>
      <c r="B5" s="25" t="s">
        <v>32</v>
      </c>
      <c r="D5" s="25" t="s">
        <v>60</v>
      </c>
      <c r="F5" s="25" t="s">
        <v>36</v>
      </c>
      <c r="H5" s="25" t="s">
        <v>47</v>
      </c>
      <c r="J5" s="25">
        <v>20</v>
      </c>
    </row>
    <row r="6" spans="1:15" ht="15" thickBot="1" x14ac:dyDescent="0.4">
      <c r="B6" s="13"/>
      <c r="C6" s="13"/>
      <c r="D6" s="13"/>
      <c r="E6" s="13"/>
      <c r="F6" s="13"/>
    </row>
    <row r="7" spans="1:15" ht="15" thickBot="1" x14ac:dyDescent="0.4">
      <c r="A7" s="25">
        <v>3</v>
      </c>
      <c r="B7" s="25" t="s">
        <v>32</v>
      </c>
      <c r="D7" s="25" t="s">
        <v>34</v>
      </c>
      <c r="F7" s="25" t="s">
        <v>19</v>
      </c>
      <c r="H7" s="25" t="s">
        <v>47</v>
      </c>
      <c r="J7" s="25">
        <v>20</v>
      </c>
    </row>
    <row r="8" spans="1:15" ht="15" thickBot="1" x14ac:dyDescent="0.4"/>
    <row r="9" spans="1:15" ht="15" thickBot="1" x14ac:dyDescent="0.4">
      <c r="A9" s="25">
        <v>4</v>
      </c>
      <c r="B9" s="25" t="s">
        <v>32</v>
      </c>
      <c r="D9" s="25" t="s">
        <v>60</v>
      </c>
      <c r="F9" s="25" t="s">
        <v>59</v>
      </c>
      <c r="H9" s="25" t="s">
        <v>47</v>
      </c>
      <c r="J9" s="25">
        <v>20</v>
      </c>
    </row>
    <row r="11" spans="1:15" ht="15" thickBot="1" x14ac:dyDescent="0.4"/>
    <row r="12" spans="1:15" ht="15" thickBot="1" x14ac:dyDescent="0.4">
      <c r="H12" s="28" t="s">
        <v>42</v>
      </c>
      <c r="J12" s="25">
        <f>SUM(J3,J5,J7,J9)</f>
        <v>80</v>
      </c>
    </row>
  </sheetData>
  <dataValidations count="1">
    <dataValidation type="list" allowBlank="1" showInputMessage="1" showErrorMessage="1" sqref="H3 H5 H7 H9">
      <formula1>"Billable, Non-billable"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127000</xdr:colOff>
                    <xdr:row>10</xdr:row>
                    <xdr:rowOff>44450</xdr:rowOff>
                  </from>
                  <to>
                    <xdr:col>1</xdr:col>
                    <xdr:colOff>1181100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AddTimeLogDaily.AddTimeLogDaily">
                <anchor moveWithCells="1" sizeWithCells="1">
                  <from>
                    <xdr:col>4</xdr:col>
                    <xdr:colOff>19050</xdr:colOff>
                    <xdr:row>13</xdr:row>
                    <xdr:rowOff>50800</xdr:rowOff>
                  </from>
                  <to>
                    <xdr:col>6</xdr:col>
                    <xdr:colOff>184150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et_Date_Today">
                <anchor moveWithCells="1" sizeWithCells="1">
                  <from>
                    <xdr:col>7</xdr:col>
                    <xdr:colOff>57150</xdr:colOff>
                    <xdr:row>0</xdr:row>
                    <xdr:rowOff>38100</xdr:rowOff>
                  </from>
                  <to>
                    <xdr:col>7</xdr:col>
                    <xdr:colOff>1250950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JobsNames!$A:$A</xm:f>
          </x14:formula1>
          <xm:sqref>F3 F5 F7 F9</xm:sqref>
        </x14:dataValidation>
        <x14:dataValidation type="list" allowBlank="1" showInputMessage="1" showErrorMessage="1">
          <x14:formula1>
            <xm:f>Projects!$B:$B</xm:f>
          </x14:formula1>
          <xm:sqref>D3</xm:sqref>
        </x14:dataValidation>
        <x14:dataValidation type="list" allowBlank="1" showInputMessage="1" showErrorMessage="1">
          <x14:formula1>
            <xm:f>Projects!$B:$B</xm:f>
          </x14:formula1>
          <xm:sqref>D5</xm:sqref>
        </x14:dataValidation>
        <x14:dataValidation type="list" allowBlank="1" showInputMessage="1" showErrorMessage="1">
          <x14:formula1>
            <xm:f>Projects!$B:$B</xm:f>
          </x14:formula1>
          <xm:sqref>D7</xm:sqref>
        </x14:dataValidation>
        <x14:dataValidation type="list" allowBlank="1" showInputMessage="1" showErrorMessage="1">
          <x14:formula1>
            <xm:f>Projects!$B:$B</xm:f>
          </x14:formula1>
          <xm:sqref>D9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16"/>
  <sheetViews>
    <sheetView workbookViewId="0">
      <selection activeCell="K3" sqref="K3"/>
    </sheetView>
  </sheetViews>
  <sheetFormatPr defaultRowHeight="14.5" x14ac:dyDescent="0.35"/>
  <cols>
    <col min="1" max="1" width="8.7265625" style="5"/>
    <col min="2" max="2" width="2.36328125" style="5" customWidth="1"/>
    <col min="3" max="3" width="22.7265625" style="5" customWidth="1"/>
    <col min="4" max="4" width="2.36328125" style="5" customWidth="1"/>
    <col min="5" max="5" width="37.54296875" style="5" customWidth="1"/>
    <col min="6" max="6" width="3.36328125" style="5" customWidth="1"/>
    <col min="7" max="7" width="24.54296875" style="5" customWidth="1"/>
    <col min="8" max="8" width="3.7265625" style="5" customWidth="1"/>
    <col min="9" max="9" width="15.36328125" style="5" customWidth="1"/>
    <col min="10" max="10" width="2.1796875" style="5" customWidth="1"/>
    <col min="11" max="11" width="17.26953125" style="5" customWidth="1"/>
    <col min="12" max="12" width="2.08984375" style="5" customWidth="1"/>
    <col min="13" max="13" width="17.90625" style="5" customWidth="1"/>
    <col min="14" max="14" width="2.08984375" style="5" customWidth="1"/>
    <col min="15" max="15" width="17.36328125" style="5" customWidth="1"/>
    <col min="16" max="16" width="2.08984375" style="5" customWidth="1"/>
    <col min="17" max="17" width="18.54296875" style="5" customWidth="1"/>
    <col min="18" max="18" width="2.1796875" style="5" customWidth="1"/>
    <col min="19" max="19" width="19.54296875" style="5" customWidth="1"/>
    <col min="20" max="20" width="2.08984375" style="5" customWidth="1"/>
    <col min="21" max="21" width="18.7265625" style="5" customWidth="1"/>
    <col min="22" max="22" width="2.08984375" style="5" customWidth="1"/>
    <col min="23" max="23" width="20.6328125" style="5" customWidth="1"/>
    <col min="24" max="24" width="2.36328125" style="5" customWidth="1"/>
    <col min="25" max="25" width="17.1796875" style="5" customWidth="1"/>
    <col min="26" max="16384" width="8.7265625" style="5"/>
  </cols>
  <sheetData>
    <row r="1" spans="1:25" ht="26.5" customHeight="1" x14ac:dyDescent="0.35">
      <c r="C1" s="51" t="s">
        <v>50</v>
      </c>
      <c r="E1" s="38">
        <v>45396</v>
      </c>
      <c r="G1" s="38">
        <v>45402</v>
      </c>
    </row>
    <row r="2" spans="1:25" ht="27.5" customHeight="1" thickBot="1" x14ac:dyDescent="0.4">
      <c r="A2" s="28" t="s">
        <v>39</v>
      </c>
      <c r="C2" s="28" t="s">
        <v>48</v>
      </c>
      <c r="E2" s="28" t="s">
        <v>31</v>
      </c>
      <c r="G2" s="28" t="s">
        <v>30</v>
      </c>
      <c r="I2" s="28" t="s">
        <v>47</v>
      </c>
      <c r="K2" s="29" t="s">
        <v>240</v>
      </c>
      <c r="L2" s="39"/>
      <c r="M2" s="29" t="s">
        <v>241</v>
      </c>
      <c r="N2" s="39"/>
      <c r="O2" s="29" t="s">
        <v>242</v>
      </c>
      <c r="P2" s="39"/>
      <c r="Q2" s="29" t="s">
        <v>243</v>
      </c>
      <c r="S2" s="29" t="s">
        <v>244</v>
      </c>
      <c r="U2" s="29" t="s">
        <v>245</v>
      </c>
      <c r="W2" s="29" t="s">
        <v>246</v>
      </c>
      <c r="Y2" s="28" t="s">
        <v>49</v>
      </c>
    </row>
    <row r="3" spans="1:25" ht="15" thickBot="1" x14ac:dyDescent="0.4">
      <c r="A3" s="25"/>
      <c r="C3" s="25" t="s">
        <v>32</v>
      </c>
      <c r="E3" s="25" t="s">
        <v>60</v>
      </c>
      <c r="G3" s="25" t="s">
        <v>36</v>
      </c>
      <c r="I3" s="25" t="s">
        <v>171</v>
      </c>
      <c r="K3" s="25"/>
      <c r="M3" s="74"/>
      <c r="O3" s="74">
        <v>1.0416666666666667</v>
      </c>
      <c r="Q3" s="25"/>
      <c r="S3" s="25"/>
      <c r="U3" s="25"/>
      <c r="W3" s="25"/>
      <c r="Y3" s="25">
        <f>SUM(K3,M3,O3,Q3,S3,U3,W3)</f>
        <v>1.0416666666666667</v>
      </c>
    </row>
    <row r="4" spans="1:25" ht="15" thickBot="1" x14ac:dyDescent="0.4"/>
    <row r="5" spans="1:25" ht="15" thickBot="1" x14ac:dyDescent="0.4">
      <c r="A5" s="25"/>
      <c r="C5" s="25" t="s">
        <v>32</v>
      </c>
      <c r="E5" s="25" t="s">
        <v>60</v>
      </c>
      <c r="G5" s="25" t="s">
        <v>59</v>
      </c>
      <c r="I5" s="25" t="s">
        <v>171</v>
      </c>
      <c r="K5" s="25"/>
      <c r="M5" s="25"/>
      <c r="O5" s="74">
        <v>1.875</v>
      </c>
      <c r="Q5" s="25"/>
      <c r="S5" s="74"/>
      <c r="U5" s="25"/>
      <c r="W5" s="75"/>
      <c r="Y5" s="25">
        <f>SUM(K5,M5,O5,Q5,S5,U5,W5)</f>
        <v>1.875</v>
      </c>
    </row>
    <row r="6" spans="1:25" ht="15" thickBot="1" x14ac:dyDescent="0.4"/>
    <row r="7" spans="1:25" ht="15" thickBot="1" x14ac:dyDescent="0.4">
      <c r="A7" s="25"/>
      <c r="C7" s="25" t="s">
        <v>32</v>
      </c>
      <c r="E7" s="25" t="s">
        <v>34</v>
      </c>
      <c r="G7" s="25" t="s">
        <v>19</v>
      </c>
      <c r="I7" s="25" t="s">
        <v>171</v>
      </c>
      <c r="K7" s="25"/>
      <c r="M7" s="25"/>
      <c r="O7" s="74">
        <v>1.0416666666666667</v>
      </c>
      <c r="Q7" s="25"/>
      <c r="S7" s="25"/>
      <c r="U7" s="74"/>
      <c r="W7" s="74"/>
      <c r="Y7" s="25">
        <f>SUM(K7,M7,O7,Q7,S7,U7,W7)</f>
        <v>1.0416666666666667</v>
      </c>
    </row>
    <row r="8" spans="1:25" ht="15" thickBot="1" x14ac:dyDescent="0.4"/>
    <row r="9" spans="1:25" ht="15" thickBot="1" x14ac:dyDescent="0.4">
      <c r="A9" s="25"/>
      <c r="C9" s="25" t="s">
        <v>32</v>
      </c>
      <c r="E9" s="25" t="s">
        <v>34</v>
      </c>
      <c r="G9" s="25" t="s">
        <v>37</v>
      </c>
      <c r="I9" s="25" t="s">
        <v>171</v>
      </c>
      <c r="K9" s="25"/>
      <c r="M9" s="25"/>
      <c r="O9" s="74">
        <v>0.625</v>
      </c>
      <c r="Q9" s="25"/>
      <c r="S9" s="25"/>
      <c r="U9" s="74"/>
      <c r="W9" s="25"/>
      <c r="Y9" s="25">
        <f>SUM(K9,M9,O9,Q9,S9,U9,W9)</f>
        <v>0.625</v>
      </c>
    </row>
    <row r="10" spans="1:25" ht="15" thickBot="1" x14ac:dyDescent="0.4"/>
    <row r="11" spans="1:25" ht="15" thickBot="1" x14ac:dyDescent="0.4">
      <c r="A11" s="40"/>
      <c r="C11" s="40" t="s">
        <v>32</v>
      </c>
      <c r="E11" s="40" t="s">
        <v>34</v>
      </c>
      <c r="G11" s="40" t="s">
        <v>36</v>
      </c>
      <c r="I11" s="72" t="s">
        <v>171</v>
      </c>
      <c r="K11" s="25"/>
      <c r="M11" s="25"/>
      <c r="O11" s="74">
        <v>1.4583333333333333</v>
      </c>
      <c r="Q11" s="25"/>
      <c r="S11" s="25"/>
      <c r="U11" s="25"/>
      <c r="W11" s="74"/>
      <c r="Y11" s="40"/>
    </row>
    <row r="12" spans="1:25" ht="15" thickBot="1" x14ac:dyDescent="0.4"/>
    <row r="13" spans="1:25" ht="15" thickBot="1" x14ac:dyDescent="0.4">
      <c r="G13" s="28" t="s">
        <v>179</v>
      </c>
      <c r="I13" s="40"/>
      <c r="K13" s="40"/>
      <c r="M13" s="40"/>
      <c r="O13" s="40"/>
      <c r="Q13" s="40"/>
      <c r="S13" s="40"/>
      <c r="U13" s="40"/>
      <c r="W13" s="40"/>
    </row>
    <row r="16" spans="1:25" x14ac:dyDescent="0.35">
      <c r="G16" s="5" t="s">
        <v>51</v>
      </c>
    </row>
  </sheetData>
  <dataValidations count="1">
    <dataValidation type="list" allowBlank="1" showInputMessage="1" showErrorMessage="1" sqref="I5 I3 I5 I7 I9">
      <formula1>"Billable, Non-billable"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TimeLogWeekly.AddTimeLogWeekly">
                <anchor moveWithCells="1" sizeWithCells="1">
                  <from>
                    <xdr:col>4</xdr:col>
                    <xdr:colOff>1898650</xdr:colOff>
                    <xdr:row>14</xdr:row>
                    <xdr:rowOff>114300</xdr:rowOff>
                  </from>
                  <to>
                    <xdr:col>8</xdr:col>
                    <xdr:colOff>292100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Set_Date_Week">
                <anchor moveWithCells="1" sizeWithCells="1">
                  <from>
                    <xdr:col>10</xdr:col>
                    <xdr:colOff>82550</xdr:colOff>
                    <xdr:row>0</xdr:row>
                    <xdr:rowOff>50800</xdr:rowOff>
                  </from>
                  <to>
                    <xdr:col>10</xdr:col>
                    <xdr:colOff>1092200</xdr:colOff>
                    <xdr:row>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Set_Date_Week_Previous">
                <anchor moveWithCells="1" sizeWithCells="1">
                  <from>
                    <xdr:col>4</xdr:col>
                    <xdr:colOff>863600</xdr:colOff>
                    <xdr:row>0</xdr:row>
                    <xdr:rowOff>31750</xdr:rowOff>
                  </from>
                  <to>
                    <xdr:col>4</xdr:col>
                    <xdr:colOff>1257300</xdr:colOff>
                    <xdr:row>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Set_Date_Week_Next">
                <anchor moveWithCells="1" sizeWithCells="1">
                  <from>
                    <xdr:col>8</xdr:col>
                    <xdr:colOff>241300</xdr:colOff>
                    <xdr:row>0</xdr:row>
                    <xdr:rowOff>63500</xdr:rowOff>
                  </from>
                  <to>
                    <xdr:col>8</xdr:col>
                    <xdr:colOff>647700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JobsNames!$A:$A</xm:f>
          </x14:formula1>
          <xm:sqref>G3 G5 G7 G9</xm:sqref>
        </x14:dataValidation>
        <x14:dataValidation type="list" allowBlank="1" showInputMessage="1" showErrorMessage="1">
          <x14:formula1>
            <xm:f>Projects!$B:$B</xm:f>
          </x14:formula1>
          <xm:sqref>E12</xm:sqref>
        </x14:dataValidation>
        <x14:dataValidation type="list" allowBlank="1" showInputMessage="1" showErrorMessage="1">
          <x14:formula1>
            <xm:f>Projects!$B:$B</xm:f>
          </x14:formula1>
          <xm:sqref>E3</xm:sqref>
        </x14:dataValidation>
        <x14:dataValidation type="list" allowBlank="1" showInputMessage="1" showErrorMessage="1">
          <x14:formula1>
            <xm:f>Projects!$B:$B</xm:f>
          </x14:formula1>
          <xm:sqref>E5</xm:sqref>
        </x14:dataValidation>
        <x14:dataValidation type="list" allowBlank="1" showInputMessage="1" showErrorMessage="1">
          <x14:formula1>
            <xm:f>Projects!$B:$B</xm:f>
          </x14:formula1>
          <xm:sqref>E7</xm:sqref>
        </x14:dataValidation>
        <x14:dataValidation type="list" allowBlank="1" showInputMessage="1" showErrorMessage="1">
          <x14:formula1>
            <xm:f>Projects!$B:$B</xm:f>
          </x14:formula1>
          <xm:sqref>E9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79"/>
  <sheetViews>
    <sheetView topLeftCell="E1" workbookViewId="0">
      <selection activeCell="G5" sqref="G5"/>
    </sheetView>
  </sheetViews>
  <sheetFormatPr defaultRowHeight="14.5" x14ac:dyDescent="0.35"/>
  <cols>
    <col min="1" max="1" width="8.7265625" style="5"/>
    <col min="2" max="2" width="2.54296875" style="5" customWidth="1"/>
    <col min="3" max="3" width="20.54296875" style="5" customWidth="1"/>
    <col min="4" max="4" width="2.6328125" style="5" customWidth="1"/>
    <col min="5" max="5" width="37.1796875" style="5" customWidth="1"/>
    <col min="6" max="6" width="3.26953125" style="5" customWidth="1"/>
    <col min="7" max="7" width="23.54296875" style="5" customWidth="1"/>
    <col min="8" max="8" width="3.6328125" style="5" customWidth="1"/>
    <col min="9" max="9" width="17.81640625" style="5" customWidth="1"/>
    <col min="10" max="10" width="2.6328125" style="5" customWidth="1"/>
    <col min="11" max="11" width="11.36328125" style="5" customWidth="1"/>
    <col min="12" max="12" width="11.26953125" style="5" customWidth="1"/>
    <col min="13" max="13" width="11.36328125" style="5" customWidth="1"/>
    <col min="14" max="14" width="10.7265625" style="5" customWidth="1"/>
    <col min="15" max="15" width="11" style="5" customWidth="1"/>
    <col min="16" max="16" width="11.26953125" style="5" customWidth="1"/>
    <col min="17" max="17" width="11.36328125" style="5" customWidth="1"/>
    <col min="18" max="19" width="11.1796875" style="5" customWidth="1"/>
    <col min="20" max="20" width="11.26953125" style="5" customWidth="1"/>
    <col min="21" max="21" width="11.1796875" style="5" customWidth="1"/>
    <col min="22" max="22" width="11.36328125" style="5" customWidth="1"/>
    <col min="23" max="23" width="11.6328125" style="5" customWidth="1"/>
    <col min="24" max="24" width="11.453125" style="5" customWidth="1"/>
    <col min="25" max="25" width="11.7265625" style="5" customWidth="1"/>
    <col min="26" max="26" width="10.81640625" style="5" customWidth="1"/>
    <col min="27" max="27" width="11.453125" style="5" customWidth="1"/>
    <col min="28" max="28" width="11.90625" style="5" customWidth="1"/>
    <col min="29" max="29" width="11.81640625" style="5" customWidth="1"/>
    <col min="30" max="30" width="11.453125" style="5" customWidth="1"/>
    <col min="31" max="31" width="11.90625" style="5" customWidth="1"/>
    <col min="32" max="33" width="11.54296875" style="5" customWidth="1"/>
    <col min="34" max="34" width="11.26953125" style="5" customWidth="1"/>
    <col min="35" max="35" width="11" style="5" customWidth="1"/>
    <col min="36" max="36" width="11.36328125" style="5" customWidth="1"/>
    <col min="37" max="37" width="11.26953125" style="5" customWidth="1"/>
    <col min="38" max="38" width="11.453125" style="5" customWidth="1"/>
    <col min="39" max="39" width="11.36328125" style="5" customWidth="1"/>
    <col min="40" max="40" width="12.08984375" style="5" customWidth="1"/>
    <col min="41" max="41" width="13.6328125" style="5" customWidth="1"/>
    <col min="42" max="42" width="14.08984375" style="5" customWidth="1"/>
    <col min="43" max="16384" width="8.7265625" style="5"/>
  </cols>
  <sheetData>
    <row r="1" spans="1:42" ht="23.5" customHeight="1" x14ac:dyDescent="0.35">
      <c r="C1" s="51" t="s">
        <v>54</v>
      </c>
      <c r="E1" s="30">
        <v>45383</v>
      </c>
      <c r="F1" s="5" t="s">
        <v>55</v>
      </c>
      <c r="G1" s="30">
        <v>45412</v>
      </c>
    </row>
    <row r="2" spans="1:42" ht="24" customHeight="1" thickBot="1" x14ac:dyDescent="0.4">
      <c r="A2" s="28" t="s">
        <v>53</v>
      </c>
      <c r="C2" s="28" t="s">
        <v>48</v>
      </c>
      <c r="E2" s="28" t="s">
        <v>31</v>
      </c>
      <c r="G2" s="28" t="s">
        <v>30</v>
      </c>
      <c r="I2" s="28" t="s">
        <v>41</v>
      </c>
      <c r="K2" s="32" t="s">
        <v>228</v>
      </c>
      <c r="L2" s="32" t="s">
        <v>229</v>
      </c>
      <c r="M2" s="32" t="s">
        <v>230</v>
      </c>
      <c r="N2" s="32" t="s">
        <v>231</v>
      </c>
      <c r="O2" s="32" t="s">
        <v>232</v>
      </c>
      <c r="P2" s="32" t="s">
        <v>233</v>
      </c>
      <c r="Q2" s="32" t="s">
        <v>234</v>
      </c>
      <c r="R2" s="32" t="s">
        <v>235</v>
      </c>
      <c r="S2" s="32" t="s">
        <v>236</v>
      </c>
      <c r="T2" s="32" t="s">
        <v>237</v>
      </c>
      <c r="U2" s="32" t="s">
        <v>238</v>
      </c>
      <c r="V2" s="32" t="s">
        <v>20</v>
      </c>
      <c r="W2" s="32" t="s">
        <v>239</v>
      </c>
      <c r="X2" s="32" t="s">
        <v>240</v>
      </c>
      <c r="Y2" s="32" t="s">
        <v>241</v>
      </c>
      <c r="Z2" s="32" t="s">
        <v>242</v>
      </c>
      <c r="AA2" s="32" t="s">
        <v>243</v>
      </c>
      <c r="AB2" s="32" t="s">
        <v>244</v>
      </c>
      <c r="AC2" s="32" t="s">
        <v>245</v>
      </c>
      <c r="AD2" s="32" t="s">
        <v>246</v>
      </c>
      <c r="AE2" s="32" t="s">
        <v>222</v>
      </c>
      <c r="AF2" s="32" t="s">
        <v>223</v>
      </c>
      <c r="AG2" s="32" t="s">
        <v>224</v>
      </c>
      <c r="AH2" s="32" t="s">
        <v>225</v>
      </c>
      <c r="AI2" s="32" t="s">
        <v>193</v>
      </c>
      <c r="AJ2" s="32" t="s">
        <v>226</v>
      </c>
      <c r="AK2" s="32" t="s">
        <v>227</v>
      </c>
      <c r="AL2" s="32" t="s">
        <v>194</v>
      </c>
      <c r="AM2" s="32" t="s">
        <v>195</v>
      </c>
      <c r="AN2" s="33" t="s">
        <v>196</v>
      </c>
      <c r="AO2" s="37">
        <v>45443</v>
      </c>
      <c r="AP2" s="28" t="s">
        <v>52</v>
      </c>
    </row>
    <row r="3" spans="1:42" ht="15" thickBot="1" x14ac:dyDescent="0.4">
      <c r="A3" s="25"/>
      <c r="C3" s="25" t="s">
        <v>32</v>
      </c>
      <c r="E3" s="25" t="s">
        <v>34</v>
      </c>
      <c r="G3" s="25" t="s">
        <v>33</v>
      </c>
      <c r="I3" s="25" t="s">
        <v>171</v>
      </c>
      <c r="K3" s="31"/>
      <c r="L3" s="31"/>
      <c r="M3" s="31"/>
      <c r="N3" s="31"/>
      <c r="O3" s="31"/>
      <c r="P3" s="31"/>
      <c r="Q3" s="31"/>
      <c r="R3" s="66">
        <v>8.3333333333333329E-2</v>
      </c>
      <c r="S3" s="66">
        <v>8.3333333333333329E-2</v>
      </c>
      <c r="T3" s="31"/>
      <c r="U3" s="66"/>
      <c r="V3" s="66"/>
      <c r="W3" s="66"/>
      <c r="X3" s="31"/>
      <c r="Y3" s="31"/>
      <c r="Z3" s="69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4"/>
      <c r="AO3" s="36"/>
      <c r="AP3" s="35"/>
    </row>
    <row r="4" spans="1:42" ht="15" thickBot="1" x14ac:dyDescent="0.4">
      <c r="R4" s="67"/>
    </row>
    <row r="5" spans="1:42" ht="15" thickBot="1" x14ac:dyDescent="0.4">
      <c r="A5" s="25"/>
      <c r="C5" s="25" t="s">
        <v>32</v>
      </c>
      <c r="E5" s="25" t="s">
        <v>34</v>
      </c>
      <c r="G5" s="25" t="s">
        <v>36</v>
      </c>
      <c r="I5" s="25" t="s">
        <v>171</v>
      </c>
      <c r="K5" s="31"/>
      <c r="L5" s="31"/>
      <c r="M5" s="31"/>
      <c r="N5" s="31"/>
      <c r="O5" s="31"/>
      <c r="P5" s="31"/>
      <c r="Q5" s="31"/>
      <c r="R5" s="31"/>
      <c r="S5" s="66"/>
      <c r="T5" s="31"/>
      <c r="U5" s="66">
        <v>0.5</v>
      </c>
      <c r="V5" s="31"/>
      <c r="W5" s="69">
        <v>0.41666666666666669</v>
      </c>
      <c r="X5" s="31"/>
      <c r="Y5" s="31"/>
      <c r="Z5" s="69">
        <v>1.4583333333333333</v>
      </c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>
        <v>13</v>
      </c>
      <c r="AN5" s="34"/>
      <c r="AO5" s="36"/>
      <c r="AP5" s="35"/>
    </row>
    <row r="6" spans="1:42" ht="15" thickBot="1" x14ac:dyDescent="0.4">
      <c r="U6" s="67"/>
    </row>
    <row r="7" spans="1:42" ht="15" thickBot="1" x14ac:dyDescent="0.4">
      <c r="A7" s="25"/>
      <c r="C7" s="25" t="s">
        <v>32</v>
      </c>
      <c r="E7" s="25" t="s">
        <v>34</v>
      </c>
      <c r="G7" s="25" t="s">
        <v>37</v>
      </c>
      <c r="I7" s="25" t="s">
        <v>171</v>
      </c>
      <c r="K7" s="31"/>
      <c r="L7" s="31"/>
      <c r="M7" s="31"/>
      <c r="N7" s="31"/>
      <c r="O7" s="31"/>
      <c r="P7" s="31"/>
      <c r="Q7" s="31"/>
      <c r="R7" s="31"/>
      <c r="S7" s="31"/>
      <c r="T7" s="31"/>
      <c r="U7" s="66"/>
      <c r="V7" s="66">
        <v>0.33333333333333331</v>
      </c>
      <c r="W7" s="69">
        <v>0.83333333333333337</v>
      </c>
      <c r="X7" s="31"/>
      <c r="Y7" s="31"/>
      <c r="Z7" s="69">
        <v>0.625</v>
      </c>
      <c r="AA7" s="31"/>
      <c r="AB7" s="31"/>
      <c r="AC7" s="31"/>
      <c r="AD7" s="31"/>
      <c r="AE7" s="31"/>
      <c r="AF7" s="31"/>
      <c r="AG7" s="66">
        <v>0.625</v>
      </c>
      <c r="AH7" s="31"/>
      <c r="AI7" s="31"/>
      <c r="AJ7" s="31"/>
      <c r="AK7" s="31"/>
      <c r="AL7" s="31"/>
      <c r="AM7" s="31"/>
      <c r="AN7" s="34"/>
      <c r="AO7" s="36"/>
      <c r="AP7" s="35"/>
    </row>
    <row r="8" spans="1:42" ht="15" thickBot="1" x14ac:dyDescent="0.4">
      <c r="U8" s="67"/>
      <c r="V8" s="67"/>
    </row>
    <row r="9" spans="1:42" ht="15" thickBot="1" x14ac:dyDescent="0.4">
      <c r="A9" s="25"/>
      <c r="C9" s="25" t="s">
        <v>32</v>
      </c>
      <c r="E9" s="25"/>
      <c r="G9" s="25" t="s">
        <v>19</v>
      </c>
      <c r="I9" s="25" t="s">
        <v>171</v>
      </c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66">
        <v>0.20833333333333334</v>
      </c>
      <c r="W9" s="69"/>
      <c r="X9" s="31"/>
      <c r="Y9" s="31"/>
      <c r="Z9" s="66"/>
      <c r="AA9" s="31"/>
      <c r="AB9" s="31"/>
      <c r="AC9" s="31"/>
      <c r="AD9" s="31"/>
      <c r="AE9" s="31"/>
      <c r="AF9" s="31"/>
      <c r="AG9" s="66"/>
      <c r="AH9" s="31"/>
      <c r="AI9" s="31"/>
      <c r="AJ9" s="31"/>
      <c r="AK9" s="31"/>
      <c r="AL9" s="31"/>
      <c r="AM9" s="31"/>
      <c r="AN9" s="34"/>
      <c r="AO9" s="36"/>
      <c r="AP9" s="35"/>
    </row>
    <row r="10" spans="1:42" ht="15" thickBot="1" x14ac:dyDescent="0.4">
      <c r="V10" s="67"/>
    </row>
    <row r="11" spans="1:42" ht="15" thickBot="1" x14ac:dyDescent="0.4">
      <c r="A11" s="40"/>
      <c r="C11" s="40" t="s">
        <v>32</v>
      </c>
      <c r="E11" s="40" t="s">
        <v>34</v>
      </c>
      <c r="G11" s="40" t="s">
        <v>19</v>
      </c>
      <c r="I11" s="72" t="s">
        <v>171</v>
      </c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66"/>
      <c r="W11" s="66">
        <v>0.83333333333333337</v>
      </c>
      <c r="X11" s="31"/>
      <c r="Y11" s="31"/>
      <c r="Z11" s="69">
        <v>1.0416666666666667</v>
      </c>
      <c r="AA11" s="31"/>
      <c r="AB11" s="31"/>
      <c r="AC11" s="31"/>
      <c r="AD11" s="31"/>
      <c r="AE11" s="31"/>
      <c r="AF11" s="31"/>
      <c r="AG11" s="66">
        <v>1.4583333333333333</v>
      </c>
      <c r="AH11" s="31"/>
      <c r="AI11" s="31"/>
      <c r="AJ11" s="31"/>
      <c r="AK11" s="66">
        <v>0.5</v>
      </c>
      <c r="AL11" s="31"/>
      <c r="AM11" s="31"/>
      <c r="AN11" s="34"/>
      <c r="AO11" s="71"/>
      <c r="AP11" s="40"/>
    </row>
    <row r="12" spans="1:42" ht="15" thickBot="1" x14ac:dyDescent="0.4">
      <c r="W12" s="67"/>
    </row>
    <row r="13" spans="1:42" ht="15" thickBot="1" x14ac:dyDescent="0.4">
      <c r="A13" s="40"/>
      <c r="C13" s="40" t="s">
        <v>32</v>
      </c>
      <c r="E13" s="40" t="s">
        <v>60</v>
      </c>
      <c r="G13" s="40" t="s">
        <v>36</v>
      </c>
      <c r="I13" s="40" t="s">
        <v>171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70"/>
      <c r="W13" s="36"/>
      <c r="X13" s="36"/>
      <c r="Y13" s="36"/>
      <c r="Z13" s="73">
        <v>1.0416666666666667</v>
      </c>
      <c r="AA13" s="36"/>
      <c r="AB13" s="36"/>
      <c r="AC13" s="36"/>
      <c r="AD13" s="36"/>
      <c r="AE13" s="36"/>
      <c r="AF13" s="36"/>
      <c r="AG13" s="70">
        <v>1.0416666666666667</v>
      </c>
      <c r="AH13" s="36"/>
      <c r="AI13" s="36"/>
      <c r="AJ13" s="36"/>
      <c r="AK13" s="36"/>
      <c r="AL13" s="36"/>
      <c r="AM13" s="36"/>
      <c r="AN13" s="36"/>
      <c r="AO13" s="71"/>
      <c r="AP13" s="40"/>
    </row>
    <row r="14" spans="1:42" ht="15" thickBot="1" x14ac:dyDescent="0.4">
      <c r="V14" s="67"/>
      <c r="Z14" s="68"/>
    </row>
    <row r="15" spans="1:42" ht="15" thickBot="1" x14ac:dyDescent="0.4">
      <c r="A15" s="40"/>
      <c r="C15" s="40" t="s">
        <v>32</v>
      </c>
      <c r="E15" s="40" t="s">
        <v>60</v>
      </c>
      <c r="G15" s="40" t="s">
        <v>59</v>
      </c>
      <c r="I15" s="40" t="s">
        <v>171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70"/>
      <c r="W15" s="36"/>
      <c r="X15" s="36"/>
      <c r="Y15" s="36"/>
      <c r="Z15" s="73">
        <v>1.875</v>
      </c>
      <c r="AA15" s="36"/>
      <c r="AB15" s="36"/>
      <c r="AC15" s="36"/>
      <c r="AD15" s="36"/>
      <c r="AE15" s="36"/>
      <c r="AF15" s="36"/>
      <c r="AG15" s="70">
        <v>1.875</v>
      </c>
      <c r="AH15" s="36"/>
      <c r="AI15" s="36"/>
      <c r="AJ15" s="36"/>
      <c r="AK15" s="36"/>
      <c r="AL15" s="36"/>
      <c r="AM15" s="36"/>
      <c r="AN15" s="36"/>
      <c r="AO15" s="71"/>
      <c r="AP15" s="40"/>
    </row>
    <row r="16" spans="1:42" x14ac:dyDescent="0.35">
      <c r="Z16" s="68"/>
    </row>
    <row r="17" spans="9:41" x14ac:dyDescent="0.35">
      <c r="W17" s="68"/>
    </row>
    <row r="18" spans="9:41" x14ac:dyDescent="0.35">
      <c r="I18" s="28" t="s">
        <v>179</v>
      </c>
      <c r="K18" s="36">
        <f>SUM(K3,K5,K7,K9,K11,K13,K15)</f>
        <v>0</v>
      </c>
      <c r="L18" s="36">
        <v>0</v>
      </c>
      <c r="M18" s="36"/>
      <c r="N18" s="36"/>
      <c r="O18" s="36"/>
      <c r="P18" s="36"/>
      <c r="Q18" s="36"/>
      <c r="R18" s="36"/>
      <c r="S18" s="36"/>
      <c r="T18" s="36"/>
      <c r="U18" s="36"/>
      <c r="V18" s="70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</row>
    <row r="19" spans="9:41" x14ac:dyDescent="0.35">
      <c r="W19" s="68"/>
    </row>
    <row r="21" spans="9:41" x14ac:dyDescent="0.35">
      <c r="W21" s="67"/>
      <c r="Z21" s="68"/>
      <c r="AG21" s="67"/>
    </row>
    <row r="22" spans="9:41" x14ac:dyDescent="0.35">
      <c r="W22" s="67"/>
    </row>
    <row r="23" spans="9:41" x14ac:dyDescent="0.35">
      <c r="W23" s="67"/>
    </row>
    <row r="25" spans="9:41" x14ac:dyDescent="0.35">
      <c r="W25" s="68"/>
    </row>
    <row r="27" spans="9:41" x14ac:dyDescent="0.35">
      <c r="W27" s="67"/>
    </row>
    <row r="29" spans="9:41" x14ac:dyDescent="0.35">
      <c r="W29" s="67"/>
    </row>
    <row r="31" spans="9:41" x14ac:dyDescent="0.35">
      <c r="W31" s="67"/>
    </row>
    <row r="33" spans="23:33" x14ac:dyDescent="0.35">
      <c r="W33" s="68"/>
    </row>
    <row r="35" spans="23:33" x14ac:dyDescent="0.35">
      <c r="W35" s="67"/>
    </row>
    <row r="37" spans="23:33" x14ac:dyDescent="0.35">
      <c r="W37" s="67"/>
    </row>
    <row r="39" spans="23:33" x14ac:dyDescent="0.35">
      <c r="W39" s="67"/>
    </row>
    <row r="41" spans="23:33" x14ac:dyDescent="0.35">
      <c r="Z41" s="68"/>
      <c r="AG41" s="67"/>
    </row>
    <row r="42" spans="23:33" x14ac:dyDescent="0.35">
      <c r="Z42" s="68"/>
    </row>
    <row r="43" spans="23:33" x14ac:dyDescent="0.35">
      <c r="Z43" s="68"/>
    </row>
    <row r="45" spans="23:33" x14ac:dyDescent="0.35">
      <c r="Z45" s="68"/>
      <c r="AG45" s="67"/>
    </row>
    <row r="46" spans="23:33" x14ac:dyDescent="0.35">
      <c r="Z46" s="68"/>
    </row>
    <row r="47" spans="23:33" x14ac:dyDescent="0.35">
      <c r="Z47" s="67"/>
    </row>
    <row r="49" spans="26:33" x14ac:dyDescent="0.35">
      <c r="Z49" s="68"/>
    </row>
    <row r="51" spans="26:33" x14ac:dyDescent="0.35">
      <c r="Z51" s="68"/>
    </row>
    <row r="53" spans="26:33" x14ac:dyDescent="0.35">
      <c r="Z53" s="68"/>
    </row>
    <row r="55" spans="26:33" x14ac:dyDescent="0.35">
      <c r="Z55" s="67"/>
    </row>
    <row r="57" spans="26:33" x14ac:dyDescent="0.35">
      <c r="AG57" s="67"/>
    </row>
    <row r="59" spans="26:33" x14ac:dyDescent="0.35">
      <c r="AG59" s="67"/>
    </row>
    <row r="61" spans="26:33" x14ac:dyDescent="0.35">
      <c r="AG61" s="67"/>
    </row>
    <row r="63" spans="26:33" x14ac:dyDescent="0.35">
      <c r="AG63" s="67"/>
    </row>
    <row r="65" spans="33:33" x14ac:dyDescent="0.35">
      <c r="AG65" s="67"/>
    </row>
    <row r="67" spans="33:33" x14ac:dyDescent="0.35">
      <c r="AG67" s="67"/>
    </row>
    <row r="69" spans="33:33" x14ac:dyDescent="0.35">
      <c r="AG69" s="67"/>
    </row>
    <row r="71" spans="33:33" x14ac:dyDescent="0.35">
      <c r="AG71" s="67"/>
    </row>
    <row r="73" spans="33:33" x14ac:dyDescent="0.35">
      <c r="AG73" s="68"/>
    </row>
    <row r="75" spans="33:33" x14ac:dyDescent="0.35">
      <c r="AG75" s="68"/>
    </row>
    <row r="77" spans="33:33" x14ac:dyDescent="0.35">
      <c r="AG77" s="68"/>
    </row>
    <row r="79" spans="33:33" x14ac:dyDescent="0.35">
      <c r="AG79" s="67"/>
    </row>
  </sheetData>
  <dataValidations count="1">
    <dataValidation type="list" allowBlank="1" showInputMessage="1" showErrorMessage="1" sqref="I3 I3 I5 I7 I9">
      <formula1>"Billable,Non-billable"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TimeLogMonthly.AddTimeLogMonthly">
                <anchor moveWithCells="1" sizeWithCells="1">
                  <from>
                    <xdr:col>4</xdr:col>
                    <xdr:colOff>984250</xdr:colOff>
                    <xdr:row>16</xdr:row>
                    <xdr:rowOff>165100</xdr:rowOff>
                  </from>
                  <to>
                    <xdr:col>6</xdr:col>
                    <xdr:colOff>1625600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5" name="Button 7">
              <controlPr defaultSize="0" print="0" autoFill="0" autoPict="0" macro="[0]!Set_Date_Month">
                <anchor moveWithCells="1" sizeWithCells="1">
                  <from>
                    <xdr:col>8</xdr:col>
                    <xdr:colOff>6350</xdr:colOff>
                    <xdr:row>0</xdr:row>
                    <xdr:rowOff>12700</xdr:rowOff>
                  </from>
                  <to>
                    <xdr:col>8</xdr:col>
                    <xdr:colOff>1219200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JobsNames!$A:$A</xm:f>
          </x14:formula1>
          <xm:sqref>G9 G3 G5 G7</xm:sqref>
        </x14:dataValidation>
        <x14:dataValidation type="list" allowBlank="1" showInputMessage="1" showErrorMessage="1">
          <x14:formula1>
            <xm:f>Projects!$B:$B</xm:f>
          </x14:formula1>
          <xm:sqref>E3</xm:sqref>
        </x14:dataValidation>
        <x14:dataValidation type="list" allowBlank="1" showInputMessage="1" showErrorMessage="1">
          <x14:formula1>
            <xm:f>Projects!$B:$B</xm:f>
          </x14:formula1>
          <xm:sqref>E5</xm:sqref>
        </x14:dataValidation>
        <x14:dataValidation type="list" allowBlank="1" showInputMessage="1" showErrorMessage="1">
          <x14:formula1>
            <xm:f>Projects!$B:$B</xm:f>
          </x14:formula1>
          <xm:sqref>E7</xm:sqref>
        </x14:dataValidation>
        <x14:dataValidation type="list" allowBlank="1" showInputMessage="1" showErrorMessage="1">
          <x14:formula1>
            <xm:f>Projects!$B:$B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D22" sqref="D22"/>
    </sheetView>
  </sheetViews>
  <sheetFormatPr defaultRowHeight="14.5" x14ac:dyDescent="0.35"/>
  <cols>
    <col min="1" max="1" width="22.26953125" customWidth="1"/>
  </cols>
  <sheetData>
    <row r="1" spans="1:1" x14ac:dyDescent="0.35">
      <c r="A1" t="s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4"/>
  <sheetViews>
    <sheetView workbookViewId="0">
      <selection activeCell="D17" sqref="D17"/>
    </sheetView>
  </sheetViews>
  <sheetFormatPr defaultRowHeight="14.5" x14ac:dyDescent="0.35"/>
  <cols>
    <col min="1" max="1" width="25.453125" style="47" customWidth="1"/>
    <col min="2" max="2" width="16.26953125" style="48" bestFit="1" customWidth="1"/>
    <col min="3" max="3" width="21" style="48" customWidth="1"/>
    <col min="4" max="4" width="19" style="48" customWidth="1"/>
    <col min="5" max="5" width="8.7265625" style="48"/>
    <col min="6" max="6" width="14.1796875" style="48" customWidth="1"/>
    <col min="7" max="7" width="15.54296875" style="48" customWidth="1"/>
    <col min="8" max="10" width="19" style="48" bestFit="1" customWidth="1"/>
    <col min="11" max="11" width="10.7265625" style="48" bestFit="1" customWidth="1"/>
    <col min="12" max="16384" width="8.7265625" style="48"/>
  </cols>
  <sheetData>
    <row r="1" spans="1:11" s="46" customFormat="1" x14ac:dyDescent="0.35">
      <c r="A1" s="45" t="s">
        <v>21</v>
      </c>
      <c r="B1" s="46" t="s">
        <v>10</v>
      </c>
      <c r="C1" s="46" t="s">
        <v>22</v>
      </c>
      <c r="D1" s="46" t="s">
        <v>23</v>
      </c>
      <c r="E1" s="46" t="s">
        <v>134</v>
      </c>
    </row>
    <row r="2" spans="1:11" x14ac:dyDescent="0.35">
      <c r="A2" s="47" t="s">
        <v>128</v>
      </c>
      <c r="B2" s="48" t="s">
        <v>24</v>
      </c>
      <c r="C2" s="48" t="s">
        <v>25</v>
      </c>
      <c r="D2" s="50" t="s">
        <v>135</v>
      </c>
    </row>
    <row r="3" spans="1:11" x14ac:dyDescent="0.35">
      <c r="A3" s="47" t="s">
        <v>129</v>
      </c>
      <c r="B3" s="48" t="s">
        <v>26</v>
      </c>
      <c r="D3" s="50"/>
    </row>
    <row r="4" spans="1:11" x14ac:dyDescent="0.35">
      <c r="A4" s="47" t="s">
        <v>130</v>
      </c>
      <c r="B4" s="48" t="s">
        <v>27</v>
      </c>
      <c r="D4" s="50"/>
    </row>
    <row r="5" spans="1:11" x14ac:dyDescent="0.35">
      <c r="C5" s="63"/>
    </row>
    <row r="7" spans="1:11" x14ac:dyDescent="0.35">
      <c r="H7"/>
      <c r="I7"/>
      <c r="J7"/>
      <c r="K7"/>
    </row>
    <row r="8" spans="1:11" x14ac:dyDescent="0.35">
      <c r="H8"/>
      <c r="I8"/>
      <c r="J8"/>
      <c r="K8"/>
    </row>
    <row r="9" spans="1:11" x14ac:dyDescent="0.35">
      <c r="G9"/>
      <c r="H9"/>
      <c r="I9"/>
    </row>
    <row r="10" spans="1:11" x14ac:dyDescent="0.35">
      <c r="G10"/>
      <c r="H10"/>
      <c r="I10"/>
    </row>
    <row r="11" spans="1:11" x14ac:dyDescent="0.35">
      <c r="G11"/>
      <c r="H11"/>
      <c r="I11"/>
    </row>
    <row r="12" spans="1:11" x14ac:dyDescent="0.35">
      <c r="G12"/>
      <c r="H12"/>
      <c r="I12"/>
    </row>
    <row r="13" spans="1:11" x14ac:dyDescent="0.35">
      <c r="G13"/>
      <c r="H13"/>
      <c r="I13"/>
    </row>
    <row r="14" spans="1:11" x14ac:dyDescent="0.35">
      <c r="G14"/>
      <c r="H14"/>
      <c r="I14"/>
    </row>
    <row r="15" spans="1:11" x14ac:dyDescent="0.35">
      <c r="G15"/>
      <c r="H15"/>
      <c r="I15"/>
    </row>
    <row r="16" spans="1:11" x14ac:dyDescent="0.35">
      <c r="G16"/>
      <c r="H16"/>
      <c r="I16"/>
    </row>
    <row r="17" spans="7:9" x14ac:dyDescent="0.35">
      <c r="G17"/>
      <c r="H17"/>
      <c r="I17"/>
    </row>
    <row r="18" spans="7:9" x14ac:dyDescent="0.35">
      <c r="G18"/>
      <c r="H18"/>
      <c r="I18"/>
    </row>
    <row r="19" spans="7:9" x14ac:dyDescent="0.35">
      <c r="G19"/>
      <c r="H19"/>
      <c r="I19"/>
    </row>
    <row r="20" spans="7:9" x14ac:dyDescent="0.35">
      <c r="G20"/>
      <c r="H20"/>
      <c r="I20"/>
    </row>
    <row r="21" spans="7:9" x14ac:dyDescent="0.35">
      <c r="G21"/>
      <c r="H21"/>
      <c r="I21"/>
    </row>
    <row r="22" spans="7:9" x14ac:dyDescent="0.35">
      <c r="G22"/>
      <c r="H22"/>
      <c r="I22"/>
    </row>
    <row r="23" spans="7:9" x14ac:dyDescent="0.35">
      <c r="G23"/>
      <c r="H23"/>
      <c r="I23"/>
    </row>
    <row r="24" spans="7:9" x14ac:dyDescent="0.35">
      <c r="G24"/>
      <c r="H24"/>
      <c r="I2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8"/>
  <sheetViews>
    <sheetView zoomScale="96" workbookViewId="0">
      <selection activeCell="I11" sqref="I11"/>
    </sheetView>
  </sheetViews>
  <sheetFormatPr defaultRowHeight="14.5" x14ac:dyDescent="0.35"/>
  <cols>
    <col min="1" max="1" width="20.81640625" style="47" customWidth="1"/>
    <col min="2" max="2" width="22.36328125" style="48" customWidth="1"/>
    <col min="3" max="3" width="22.36328125" style="47" customWidth="1"/>
    <col min="4" max="4" width="42.1796875" style="48" customWidth="1"/>
    <col min="5" max="5" width="23.26953125" style="47" customWidth="1"/>
    <col min="6" max="6" width="19.90625" style="48" customWidth="1"/>
    <col min="7" max="7" width="16.81640625" style="48" customWidth="1"/>
    <col min="8" max="8" width="16.08984375" style="48" customWidth="1"/>
    <col min="9" max="9" width="16.6328125" style="48" customWidth="1"/>
    <col min="10" max="10" width="16" style="48" customWidth="1"/>
    <col min="11" max="11" width="13.26953125" style="48" customWidth="1"/>
    <col min="12" max="12" width="12" style="48" customWidth="1"/>
    <col min="13" max="13" width="15.08984375" style="47" customWidth="1"/>
    <col min="14" max="14" width="11.08984375" style="47" customWidth="1"/>
    <col min="15" max="15" width="22" style="47" customWidth="1"/>
    <col min="16" max="16" width="13.54296875" style="48" customWidth="1"/>
    <col min="17" max="17" width="13.7265625" style="48" customWidth="1"/>
    <col min="18" max="18" width="16.26953125" style="48" customWidth="1"/>
    <col min="19" max="19" width="8.7265625" style="48" customWidth="1"/>
    <col min="20" max="16384" width="8.7265625" style="48"/>
  </cols>
  <sheetData>
    <row r="1" spans="1:18" s="46" customFormat="1" x14ac:dyDescent="0.35">
      <c r="A1" s="45" t="s">
        <v>56</v>
      </c>
      <c r="B1" s="46" t="s">
        <v>57</v>
      </c>
      <c r="C1" s="45" t="s">
        <v>58</v>
      </c>
      <c r="D1" s="46" t="s">
        <v>31</v>
      </c>
      <c r="E1" s="45" t="s">
        <v>166</v>
      </c>
      <c r="F1" s="46" t="s">
        <v>10</v>
      </c>
      <c r="G1" s="46" t="s">
        <v>156</v>
      </c>
      <c r="H1" s="46" t="s">
        <v>157</v>
      </c>
      <c r="I1" s="46" t="s">
        <v>164</v>
      </c>
      <c r="J1" s="46" t="s">
        <v>176</v>
      </c>
      <c r="K1" s="46" t="s">
        <v>158</v>
      </c>
      <c r="L1" s="46" t="s">
        <v>177</v>
      </c>
      <c r="M1" s="45" t="s">
        <v>178</v>
      </c>
      <c r="N1" s="45" t="s">
        <v>179</v>
      </c>
      <c r="O1" s="45" t="s">
        <v>180</v>
      </c>
      <c r="P1" s="46" t="s">
        <v>181</v>
      </c>
      <c r="Q1" s="46" t="s">
        <v>182</v>
      </c>
      <c r="R1" s="46" t="s">
        <v>13</v>
      </c>
    </row>
    <row r="2" spans="1:18" x14ac:dyDescent="0.35">
      <c r="A2" s="47" t="s">
        <v>118</v>
      </c>
      <c r="B2" s="48" t="s">
        <v>37</v>
      </c>
      <c r="C2" s="47" t="s">
        <v>119</v>
      </c>
      <c r="D2" s="48" t="s">
        <v>34</v>
      </c>
      <c r="E2" s="47" t="s">
        <v>128</v>
      </c>
      <c r="F2" s="48" t="s">
        <v>24</v>
      </c>
      <c r="G2" s="64">
        <v>45406</v>
      </c>
      <c r="H2" s="64">
        <v>45421</v>
      </c>
      <c r="J2" s="48" t="s">
        <v>47</v>
      </c>
      <c r="K2" s="48">
        <v>800</v>
      </c>
      <c r="L2" s="48" t="s">
        <v>14</v>
      </c>
      <c r="M2" s="47" t="s">
        <v>184</v>
      </c>
      <c r="N2" s="47" t="s">
        <v>123</v>
      </c>
      <c r="O2" s="47" t="s">
        <v>185</v>
      </c>
      <c r="P2" s="48" t="s">
        <v>183</v>
      </c>
      <c r="R2" s="50">
        <v>45407.513668981483</v>
      </c>
    </row>
    <row r="3" spans="1:18" x14ac:dyDescent="0.35">
      <c r="A3" s="47" t="s">
        <v>120</v>
      </c>
      <c r="B3" s="48" t="s">
        <v>36</v>
      </c>
      <c r="C3" s="47" t="s">
        <v>119</v>
      </c>
      <c r="D3" s="48" t="s">
        <v>34</v>
      </c>
      <c r="E3" s="47" t="s">
        <v>128</v>
      </c>
      <c r="F3" s="48" t="s">
        <v>24</v>
      </c>
      <c r="G3" s="64">
        <v>45400</v>
      </c>
      <c r="H3" s="64">
        <v>45406</v>
      </c>
      <c r="J3" s="48" t="s">
        <v>47</v>
      </c>
      <c r="K3" s="48">
        <v>500</v>
      </c>
      <c r="L3" s="48" t="s">
        <v>14</v>
      </c>
      <c r="M3" s="47" t="s">
        <v>184</v>
      </c>
      <c r="N3" s="47" t="s">
        <v>123</v>
      </c>
      <c r="O3" s="47" t="s">
        <v>185</v>
      </c>
      <c r="P3" s="48" t="s">
        <v>183</v>
      </c>
      <c r="R3" s="50">
        <v>45407.513668981483</v>
      </c>
    </row>
    <row r="4" spans="1:18" x14ac:dyDescent="0.35">
      <c r="A4" s="47" t="s">
        <v>121</v>
      </c>
      <c r="B4" s="48" t="s">
        <v>19</v>
      </c>
      <c r="C4" s="47" t="s">
        <v>119</v>
      </c>
      <c r="D4" s="48" t="s">
        <v>34</v>
      </c>
      <c r="E4" s="47" t="s">
        <v>128</v>
      </c>
      <c r="F4" s="48" t="s">
        <v>24</v>
      </c>
      <c r="G4" s="64">
        <v>45395</v>
      </c>
      <c r="K4" s="48">
        <v>0</v>
      </c>
      <c r="L4" s="48" t="s">
        <v>14</v>
      </c>
      <c r="M4" s="47" t="s">
        <v>184</v>
      </c>
      <c r="N4" s="47" t="s">
        <v>123</v>
      </c>
      <c r="O4" s="47" t="s">
        <v>185</v>
      </c>
      <c r="P4" s="48" t="s">
        <v>183</v>
      </c>
      <c r="R4" s="50">
        <v>45407.513668981483</v>
      </c>
    </row>
    <row r="5" spans="1:18" x14ac:dyDescent="0.35">
      <c r="A5" s="47" t="s">
        <v>122</v>
      </c>
      <c r="B5" s="48" t="s">
        <v>19</v>
      </c>
      <c r="C5" s="47" t="s">
        <v>123</v>
      </c>
      <c r="E5" s="47" t="s">
        <v>123</v>
      </c>
      <c r="G5" s="64">
        <v>45394</v>
      </c>
      <c r="K5" s="48">
        <v>0</v>
      </c>
      <c r="L5" s="48" t="s">
        <v>14</v>
      </c>
      <c r="M5" s="47" t="s">
        <v>184</v>
      </c>
      <c r="N5" s="47" t="s">
        <v>123</v>
      </c>
      <c r="O5" s="47" t="s">
        <v>185</v>
      </c>
      <c r="P5" s="48" t="s">
        <v>183</v>
      </c>
      <c r="R5" s="50">
        <v>45407.513668981483</v>
      </c>
    </row>
    <row r="6" spans="1:18" x14ac:dyDescent="0.35">
      <c r="A6" s="47" t="s">
        <v>124</v>
      </c>
      <c r="B6" s="48" t="s">
        <v>33</v>
      </c>
      <c r="C6" s="47" t="s">
        <v>119</v>
      </c>
      <c r="D6" s="48" t="s">
        <v>34</v>
      </c>
      <c r="E6" s="47" t="s">
        <v>128</v>
      </c>
      <c r="F6" s="48" t="s">
        <v>24</v>
      </c>
      <c r="G6" s="64">
        <v>45390</v>
      </c>
      <c r="H6" s="64">
        <v>45394</v>
      </c>
      <c r="J6" s="48" t="s">
        <v>47</v>
      </c>
      <c r="K6" s="48">
        <v>300</v>
      </c>
      <c r="L6" s="48" t="s">
        <v>14</v>
      </c>
      <c r="M6" s="47" t="s">
        <v>184</v>
      </c>
      <c r="N6" s="47" t="s">
        <v>123</v>
      </c>
      <c r="O6" s="47" t="s">
        <v>185</v>
      </c>
      <c r="P6" s="48" t="s">
        <v>183</v>
      </c>
      <c r="R6" s="50">
        <v>45407.513668981483</v>
      </c>
    </row>
    <row r="7" spans="1:18" x14ac:dyDescent="0.35">
      <c r="A7" s="47" t="s">
        <v>125</v>
      </c>
      <c r="B7" s="48" t="s">
        <v>59</v>
      </c>
      <c r="C7" s="47" t="s">
        <v>126</v>
      </c>
      <c r="D7" s="48" t="s">
        <v>60</v>
      </c>
      <c r="E7" s="47" t="s">
        <v>123</v>
      </c>
      <c r="K7" s="48">
        <v>0</v>
      </c>
      <c r="L7" s="48" t="s">
        <v>14</v>
      </c>
      <c r="M7" s="47" t="s">
        <v>184</v>
      </c>
      <c r="N7" s="47" t="s">
        <v>123</v>
      </c>
      <c r="O7" s="47" t="s">
        <v>185</v>
      </c>
      <c r="P7" s="48" t="s">
        <v>183</v>
      </c>
      <c r="R7" s="50">
        <v>45407.513668981483</v>
      </c>
    </row>
    <row r="8" spans="1:18" x14ac:dyDescent="0.35">
      <c r="A8" s="47" t="s">
        <v>127</v>
      </c>
      <c r="B8" s="48" t="s">
        <v>36</v>
      </c>
      <c r="C8" s="47" t="s">
        <v>126</v>
      </c>
      <c r="D8" s="48" t="s">
        <v>60</v>
      </c>
      <c r="E8" s="47" t="s">
        <v>123</v>
      </c>
      <c r="K8" s="48">
        <v>0</v>
      </c>
      <c r="L8" s="48" t="s">
        <v>14</v>
      </c>
      <c r="M8" s="47" t="s">
        <v>184</v>
      </c>
      <c r="N8" s="47" t="s">
        <v>123</v>
      </c>
      <c r="O8" s="47" t="s">
        <v>185</v>
      </c>
      <c r="P8" s="48" t="s">
        <v>183</v>
      </c>
      <c r="R8" s="50">
        <v>45407.513668981483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"/>
  <sheetViews>
    <sheetView workbookViewId="0">
      <selection activeCell="F10" sqref="F10"/>
    </sheetView>
  </sheetViews>
  <sheetFormatPr defaultRowHeight="14.5" x14ac:dyDescent="0.35"/>
  <cols>
    <col min="1" max="1" width="23.08984375" style="47" customWidth="1"/>
    <col min="2" max="2" width="41.81640625" style="48" customWidth="1"/>
    <col min="3" max="3" width="11" style="48" bestFit="1" customWidth="1"/>
    <col min="4" max="4" width="20.1796875" style="47" customWidth="1"/>
    <col min="5" max="5" width="21.1796875" style="48" customWidth="1"/>
    <col min="6" max="6" width="15" style="48" customWidth="1"/>
    <col min="7" max="7" width="21.1796875" style="47" customWidth="1"/>
    <col min="8" max="8" width="13.36328125" style="48" customWidth="1"/>
    <col min="9" max="9" width="12.36328125" style="48" customWidth="1"/>
    <col min="10" max="10" width="18" style="48" customWidth="1"/>
    <col min="11" max="11" width="20.08984375" style="47" customWidth="1"/>
    <col min="12" max="12" width="12.90625" style="48" customWidth="1"/>
    <col min="13" max="13" width="17" style="48" customWidth="1"/>
    <col min="14" max="14" width="16.453125" style="48" customWidth="1"/>
    <col min="15" max="16384" width="8.7265625" style="48"/>
  </cols>
  <sheetData>
    <row r="1" spans="1:14" s="46" customFormat="1" x14ac:dyDescent="0.35">
      <c r="A1" s="45" t="s">
        <v>11</v>
      </c>
      <c r="B1" s="46" t="s">
        <v>31</v>
      </c>
      <c r="C1" s="46" t="s">
        <v>186</v>
      </c>
      <c r="D1" s="45" t="s">
        <v>166</v>
      </c>
      <c r="E1" s="46" t="s">
        <v>10</v>
      </c>
      <c r="F1" s="46" t="s">
        <v>12</v>
      </c>
      <c r="G1" s="45" t="s">
        <v>187</v>
      </c>
      <c r="H1" s="46" t="s">
        <v>188</v>
      </c>
      <c r="I1" s="46" t="s">
        <v>137</v>
      </c>
      <c r="J1" s="46" t="s">
        <v>189</v>
      </c>
      <c r="K1" s="45" t="s">
        <v>190</v>
      </c>
      <c r="L1" s="46" t="s">
        <v>158</v>
      </c>
      <c r="M1" s="46" t="s">
        <v>191</v>
      </c>
      <c r="N1" s="46" t="s">
        <v>13</v>
      </c>
    </row>
    <row r="2" spans="1:14" x14ac:dyDescent="0.35">
      <c r="A2" s="47" t="s">
        <v>119</v>
      </c>
      <c r="B2" s="48" t="s">
        <v>34</v>
      </c>
      <c r="C2" s="48">
        <v>300000</v>
      </c>
      <c r="D2" s="47" t="s">
        <v>128</v>
      </c>
      <c r="E2" s="48" t="s">
        <v>24</v>
      </c>
      <c r="F2" s="48" t="s">
        <v>14</v>
      </c>
      <c r="G2" s="47" t="s">
        <v>185</v>
      </c>
      <c r="H2" s="48" t="s">
        <v>183</v>
      </c>
      <c r="J2" s="48">
        <v>1</v>
      </c>
      <c r="K2" s="47" t="s">
        <v>185</v>
      </c>
      <c r="L2" s="48">
        <v>300</v>
      </c>
      <c r="M2" s="48" t="s">
        <v>183</v>
      </c>
      <c r="N2" s="50">
        <v>45411.505196759259</v>
      </c>
    </row>
    <row r="3" spans="1:14" x14ac:dyDescent="0.35">
      <c r="A3" s="47" t="s">
        <v>126</v>
      </c>
      <c r="B3" s="48" t="s">
        <v>60</v>
      </c>
      <c r="D3" s="47" t="s">
        <v>123</v>
      </c>
      <c r="F3" s="48" t="s">
        <v>14</v>
      </c>
      <c r="G3" s="47" t="s">
        <v>185</v>
      </c>
      <c r="H3" s="48" t="s">
        <v>183</v>
      </c>
      <c r="J3" s="48">
        <v>1</v>
      </c>
      <c r="K3" s="47" t="s">
        <v>185</v>
      </c>
      <c r="L3" s="48">
        <v>300</v>
      </c>
      <c r="M3" s="48" t="s">
        <v>183</v>
      </c>
      <c r="N3" s="50">
        <v>45411.505196759259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C187"/>
  <sheetViews>
    <sheetView zoomScale="98" workbookViewId="0">
      <selection activeCell="K188" sqref="K188"/>
    </sheetView>
  </sheetViews>
  <sheetFormatPr defaultRowHeight="14.5" x14ac:dyDescent="0.35"/>
  <cols>
    <col min="1" max="1" width="20.90625" style="5" customWidth="1"/>
    <col min="2" max="2" width="17.1796875" style="5" customWidth="1"/>
    <col min="3" max="3" width="13.90625" style="5" customWidth="1"/>
    <col min="4" max="4" width="16.81640625" style="5" customWidth="1"/>
    <col min="5" max="16384" width="8.7265625" style="5"/>
  </cols>
  <sheetData>
    <row r="3" spans="1:3" x14ac:dyDescent="0.35">
      <c r="A3" s="5" t="s">
        <v>30</v>
      </c>
      <c r="B3" s="5" t="s">
        <v>133</v>
      </c>
      <c r="C3"/>
    </row>
    <row r="4" spans="1:3" x14ac:dyDescent="0.35">
      <c r="A4" s="5" t="s">
        <v>37</v>
      </c>
      <c r="B4" s="60">
        <v>11</v>
      </c>
      <c r="C4"/>
    </row>
    <row r="5" spans="1:3" x14ac:dyDescent="0.35">
      <c r="A5" s="5" t="s">
        <v>36</v>
      </c>
      <c r="B5" s="60">
        <v>5</v>
      </c>
      <c r="C5"/>
    </row>
    <row r="6" spans="1:3" x14ac:dyDescent="0.35">
      <c r="A6" s="5" t="s">
        <v>33</v>
      </c>
      <c r="B6" s="60">
        <v>2</v>
      </c>
      <c r="C6"/>
    </row>
    <row r="7" spans="1:3" x14ac:dyDescent="0.35">
      <c r="A7" s="5" t="s">
        <v>19</v>
      </c>
      <c r="B7" s="60">
        <v>8</v>
      </c>
      <c r="C7"/>
    </row>
    <row r="8" spans="1:3" x14ac:dyDescent="0.35">
      <c r="A8" s="5" t="s">
        <v>59</v>
      </c>
      <c r="B8" s="60">
        <v>1</v>
      </c>
      <c r="C8"/>
    </row>
    <row r="9" spans="1:3" x14ac:dyDescent="0.35">
      <c r="A9"/>
      <c r="B9"/>
      <c r="C9"/>
    </row>
    <row r="10" spans="1:3" x14ac:dyDescent="0.35">
      <c r="A10"/>
      <c r="B10"/>
      <c r="C10"/>
    </row>
    <row r="25" spans="1:3" x14ac:dyDescent="0.35">
      <c r="A25" s="59" t="s">
        <v>30</v>
      </c>
      <c r="B25" s="59" t="s">
        <v>76</v>
      </c>
      <c r="C25" t="s">
        <v>146</v>
      </c>
    </row>
    <row r="26" spans="1:3" x14ac:dyDescent="0.35">
      <c r="A26" t="s">
        <v>37</v>
      </c>
      <c r="B26" s="61">
        <v>45394</v>
      </c>
      <c r="C26" s="62">
        <v>2</v>
      </c>
    </row>
    <row r="27" spans="1:3" x14ac:dyDescent="0.35">
      <c r="A27" t="s">
        <v>37</v>
      </c>
      <c r="B27" s="61">
        <v>45395</v>
      </c>
      <c r="C27" s="62">
        <v>9</v>
      </c>
    </row>
    <row r="28" spans="1:3" x14ac:dyDescent="0.35">
      <c r="A28" t="s">
        <v>36</v>
      </c>
      <c r="B28" s="61">
        <v>45393</v>
      </c>
      <c r="C28" s="62">
        <v>1</v>
      </c>
    </row>
    <row r="29" spans="1:3" x14ac:dyDescent="0.35">
      <c r="A29" t="s">
        <v>36</v>
      </c>
      <c r="B29" s="61">
        <v>45395</v>
      </c>
      <c r="C29" s="62">
        <v>3</v>
      </c>
    </row>
    <row r="30" spans="1:3" x14ac:dyDescent="0.35">
      <c r="A30" t="s">
        <v>36</v>
      </c>
      <c r="B30" s="61">
        <v>45398</v>
      </c>
      <c r="C30" s="62">
        <v>1</v>
      </c>
    </row>
    <row r="31" spans="1:3" x14ac:dyDescent="0.35">
      <c r="A31" t="s">
        <v>33</v>
      </c>
      <c r="B31" s="61">
        <v>45390</v>
      </c>
      <c r="C31" s="62">
        <v>1</v>
      </c>
    </row>
    <row r="32" spans="1:3" x14ac:dyDescent="0.35">
      <c r="A32" t="s">
        <v>33</v>
      </c>
      <c r="B32" s="61">
        <v>45391</v>
      </c>
      <c r="C32" s="62">
        <v>1</v>
      </c>
    </row>
    <row r="33" spans="1:3" x14ac:dyDescent="0.35">
      <c r="A33" t="s">
        <v>19</v>
      </c>
      <c r="B33" s="61">
        <v>45394</v>
      </c>
      <c r="C33" s="62">
        <v>2</v>
      </c>
    </row>
    <row r="34" spans="1:3" x14ac:dyDescent="0.35">
      <c r="A34" t="s">
        <v>19</v>
      </c>
      <c r="B34" s="61">
        <v>45395</v>
      </c>
      <c r="C34" s="62">
        <v>6</v>
      </c>
    </row>
    <row r="35" spans="1:3" x14ac:dyDescent="0.35">
      <c r="A35" t="s">
        <v>59</v>
      </c>
      <c r="B35" s="61">
        <v>45398</v>
      </c>
      <c r="C35" s="62">
        <v>1</v>
      </c>
    </row>
    <row r="36" spans="1:3" x14ac:dyDescent="0.35">
      <c r="A36"/>
      <c r="B36"/>
      <c r="C36"/>
    </row>
    <row r="37" spans="1:3" x14ac:dyDescent="0.35">
      <c r="A37"/>
      <c r="B37"/>
      <c r="C37"/>
    </row>
    <row r="38" spans="1:3" x14ac:dyDescent="0.35">
      <c r="A38"/>
      <c r="B38"/>
      <c r="C38"/>
    </row>
    <row r="39" spans="1:3" x14ac:dyDescent="0.35">
      <c r="A39"/>
      <c r="B39"/>
      <c r="C39"/>
    </row>
    <row r="40" spans="1:3" x14ac:dyDescent="0.35">
      <c r="A40"/>
      <c r="B40"/>
      <c r="C40"/>
    </row>
    <row r="41" spans="1:3" x14ac:dyDescent="0.35">
      <c r="A41"/>
      <c r="B41"/>
      <c r="C41"/>
    </row>
    <row r="42" spans="1:3" x14ac:dyDescent="0.35">
      <c r="A42"/>
      <c r="B42"/>
      <c r="C42"/>
    </row>
    <row r="43" spans="1:3" x14ac:dyDescent="0.35">
      <c r="A43"/>
      <c r="B43"/>
      <c r="C43"/>
    </row>
    <row r="44" spans="1:3" x14ac:dyDescent="0.35">
      <c r="A44"/>
      <c r="B44"/>
      <c r="C44"/>
    </row>
    <row r="45" spans="1:3" x14ac:dyDescent="0.35">
      <c r="A45"/>
      <c r="B45"/>
      <c r="C45"/>
    </row>
    <row r="46" spans="1:3" x14ac:dyDescent="0.35">
      <c r="A46"/>
      <c r="B46"/>
      <c r="C46"/>
    </row>
    <row r="48" spans="1:3" x14ac:dyDescent="0.35">
      <c r="A48" s="59" t="s">
        <v>31</v>
      </c>
      <c r="B48" s="59" t="s">
        <v>30</v>
      </c>
      <c r="C48" t="s">
        <v>147</v>
      </c>
    </row>
    <row r="49" spans="1:3" x14ac:dyDescent="0.35">
      <c r="A49" t="s">
        <v>34</v>
      </c>
      <c r="B49" t="s">
        <v>37</v>
      </c>
      <c r="C49" s="62">
        <v>217</v>
      </c>
    </row>
    <row r="50" spans="1:3" x14ac:dyDescent="0.35">
      <c r="A50" t="s">
        <v>34</v>
      </c>
      <c r="B50" t="s">
        <v>36</v>
      </c>
      <c r="C50" s="62">
        <v>64</v>
      </c>
    </row>
    <row r="51" spans="1:3" x14ac:dyDescent="0.35">
      <c r="A51" t="s">
        <v>34</v>
      </c>
      <c r="B51" t="s">
        <v>33</v>
      </c>
      <c r="C51" s="62">
        <v>4</v>
      </c>
    </row>
    <row r="52" spans="1:3" x14ac:dyDescent="0.35">
      <c r="A52" t="s">
        <v>34</v>
      </c>
      <c r="B52" t="s">
        <v>19</v>
      </c>
      <c r="C52" s="62">
        <v>68</v>
      </c>
    </row>
    <row r="53" spans="1:3" x14ac:dyDescent="0.35">
      <c r="A53" t="s">
        <v>60</v>
      </c>
      <c r="B53" t="s">
        <v>36</v>
      </c>
      <c r="C53" s="62">
        <v>3</v>
      </c>
    </row>
    <row r="54" spans="1:3" x14ac:dyDescent="0.35">
      <c r="A54" t="s">
        <v>60</v>
      </c>
      <c r="B54" t="s">
        <v>59</v>
      </c>
      <c r="C54" s="62">
        <v>6</v>
      </c>
    </row>
    <row r="55" spans="1:3" x14ac:dyDescent="0.35">
      <c r="A55" t="s">
        <v>132</v>
      </c>
      <c r="B55" t="s">
        <v>19</v>
      </c>
      <c r="C55" s="62">
        <v>15</v>
      </c>
    </row>
    <row r="66" spans="1:2" x14ac:dyDescent="0.35">
      <c r="A66" s="59" t="s">
        <v>31</v>
      </c>
      <c r="B66" t="s">
        <v>147</v>
      </c>
    </row>
    <row r="67" spans="1:2" x14ac:dyDescent="0.35">
      <c r="A67" t="s">
        <v>34</v>
      </c>
      <c r="B67" s="62">
        <v>353</v>
      </c>
    </row>
    <row r="68" spans="1:2" x14ac:dyDescent="0.35">
      <c r="A68" t="s">
        <v>60</v>
      </c>
      <c r="B68" s="62">
        <v>9</v>
      </c>
    </row>
    <row r="69" spans="1:2" x14ac:dyDescent="0.35">
      <c r="A69" t="s">
        <v>132</v>
      </c>
      <c r="B69" s="62">
        <v>15</v>
      </c>
    </row>
    <row r="70" spans="1:2" x14ac:dyDescent="0.35">
      <c r="B70" s="65"/>
    </row>
    <row r="71" spans="1:2" x14ac:dyDescent="0.35">
      <c r="B71" s="65"/>
    </row>
    <row r="72" spans="1:2" x14ac:dyDescent="0.35">
      <c r="B72" s="65"/>
    </row>
    <row r="73" spans="1:2" x14ac:dyDescent="0.35">
      <c r="B73" s="65"/>
    </row>
    <row r="74" spans="1:2" x14ac:dyDescent="0.35">
      <c r="B74" s="65"/>
    </row>
    <row r="75" spans="1:2" x14ac:dyDescent="0.35">
      <c r="B75" s="65"/>
    </row>
    <row r="76" spans="1:2" x14ac:dyDescent="0.35">
      <c r="B76" s="65"/>
    </row>
    <row r="77" spans="1:2" x14ac:dyDescent="0.35">
      <c r="B77" s="65"/>
    </row>
    <row r="78" spans="1:2" x14ac:dyDescent="0.35">
      <c r="B78" s="65"/>
    </row>
    <row r="79" spans="1:2" x14ac:dyDescent="0.35">
      <c r="B79" s="65"/>
    </row>
    <row r="80" spans="1:2" x14ac:dyDescent="0.35">
      <c r="B80" s="65"/>
    </row>
    <row r="81" spans="1:2" x14ac:dyDescent="0.35">
      <c r="B81" s="65"/>
    </row>
    <row r="85" spans="1:2" x14ac:dyDescent="0.35">
      <c r="A85" t="s">
        <v>136</v>
      </c>
    </row>
    <row r="86" spans="1:2" x14ac:dyDescent="0.35">
      <c r="A86" s="62">
        <v>3</v>
      </c>
    </row>
    <row r="102" spans="1:2" x14ac:dyDescent="0.35">
      <c r="A102" s="59" t="s">
        <v>31</v>
      </c>
      <c r="B102" t="s">
        <v>144</v>
      </c>
    </row>
    <row r="103" spans="1:2" x14ac:dyDescent="0.35">
      <c r="A103" t="s">
        <v>34</v>
      </c>
      <c r="B103" s="62">
        <v>4</v>
      </c>
    </row>
    <row r="104" spans="1:2" x14ac:dyDescent="0.35">
      <c r="A104" t="s">
        <v>60</v>
      </c>
      <c r="B104" s="62">
        <v>2</v>
      </c>
    </row>
    <row r="105" spans="1:2" x14ac:dyDescent="0.35">
      <c r="A105" t="s">
        <v>132</v>
      </c>
      <c r="B105" s="62">
        <v>1</v>
      </c>
    </row>
    <row r="153" spans="1:1" x14ac:dyDescent="0.35">
      <c r="A153" t="s">
        <v>138</v>
      </c>
    </row>
    <row r="154" spans="1:1" x14ac:dyDescent="0.35">
      <c r="A154" s="62">
        <v>2</v>
      </c>
    </row>
    <row r="169" spans="1:2" x14ac:dyDescent="0.35">
      <c r="A169" s="59" t="s">
        <v>12</v>
      </c>
      <c r="B169" t="s">
        <v>139</v>
      </c>
    </row>
    <row r="170" spans="1:2" x14ac:dyDescent="0.35">
      <c r="A170" t="s">
        <v>14</v>
      </c>
      <c r="B170" s="62">
        <v>2</v>
      </c>
    </row>
    <row r="171" spans="1:2" x14ac:dyDescent="0.35">
      <c r="A171" t="s">
        <v>132</v>
      </c>
      <c r="B171" s="62"/>
    </row>
    <row r="186" spans="1:2" x14ac:dyDescent="0.35">
      <c r="A186" s="59" t="s">
        <v>177</v>
      </c>
      <c r="B186" t="s">
        <v>192</v>
      </c>
    </row>
    <row r="187" spans="1:2" x14ac:dyDescent="0.35">
      <c r="A187" t="s">
        <v>14</v>
      </c>
      <c r="B187" s="62">
        <v>7</v>
      </c>
    </row>
  </sheetData>
  <pageMargins left="0.7" right="0.7" top="0.75" bottom="0.75" header="0.3" footer="0.3"/>
  <drawing r:id="rId1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8"/>
  <sheetViews>
    <sheetView workbookViewId="0">
      <selection activeCell="C18" sqref="C18"/>
    </sheetView>
  </sheetViews>
  <sheetFormatPr defaultRowHeight="14.5" x14ac:dyDescent="0.35"/>
  <cols>
    <col min="2" max="2" width="35" customWidth="1"/>
    <col min="3" max="3" width="51.7265625" customWidth="1"/>
    <col min="6" max="6" width="10.81640625" bestFit="1" customWidth="1"/>
  </cols>
  <sheetData>
    <row r="1" spans="2:3" ht="15" thickBot="1" x14ac:dyDescent="0.4"/>
    <row r="2" spans="2:3" x14ac:dyDescent="0.35">
      <c r="B2" s="1"/>
      <c r="C2" s="2"/>
    </row>
    <row r="3" spans="2:3" x14ac:dyDescent="0.35">
      <c r="B3" s="3" t="s">
        <v>0</v>
      </c>
      <c r="C3" s="4" t="s">
        <v>6</v>
      </c>
    </row>
    <row r="4" spans="2:3" x14ac:dyDescent="0.35">
      <c r="B4" s="3" t="s">
        <v>1</v>
      </c>
      <c r="C4" s="4">
        <v>1</v>
      </c>
    </row>
    <row r="5" spans="2:3" x14ac:dyDescent="0.35">
      <c r="B5" s="3" t="s">
        <v>2</v>
      </c>
      <c r="C5" s="5"/>
    </row>
    <row r="6" spans="2:3" x14ac:dyDescent="0.35">
      <c r="B6" s="3"/>
      <c r="C6" s="6"/>
    </row>
    <row r="7" spans="2:3" x14ac:dyDescent="0.35">
      <c r="B7" s="7"/>
      <c r="C7" s="5"/>
    </row>
    <row r="8" spans="2:3" x14ac:dyDescent="0.35">
      <c r="B8" s="3" t="s">
        <v>3</v>
      </c>
      <c r="C8" s="8" t="s">
        <v>5</v>
      </c>
    </row>
    <row r="9" spans="2:3" x14ac:dyDescent="0.35">
      <c r="B9" s="3"/>
      <c r="C9" s="5"/>
    </row>
    <row r="10" spans="2:3" x14ac:dyDescent="0.35">
      <c r="B10" s="3" t="s">
        <v>4</v>
      </c>
      <c r="C10" s="9">
        <v>45393</v>
      </c>
    </row>
    <row r="11" spans="2:3" x14ac:dyDescent="0.35">
      <c r="B11" s="7"/>
      <c r="C11" s="5"/>
    </row>
    <row r="15" spans="2:3" x14ac:dyDescent="0.35">
      <c r="B15" t="s">
        <v>422</v>
      </c>
    </row>
    <row r="16" spans="2:3" x14ac:dyDescent="0.35">
      <c r="B16" t="s">
        <v>419</v>
      </c>
    </row>
    <row r="17" spans="2:2" x14ac:dyDescent="0.35">
      <c r="B17" t="s">
        <v>420</v>
      </c>
    </row>
    <row r="18" spans="2:2" x14ac:dyDescent="0.35">
      <c r="B18" t="s">
        <v>421</v>
      </c>
    </row>
  </sheetData>
  <hyperlinks>
    <hyperlink ref="C8" r:id="rId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7030A0"/>
  </sheetPr>
  <dimension ref="A1:F10"/>
  <sheetViews>
    <sheetView workbookViewId="0">
      <selection activeCell="J7" sqref="J7"/>
    </sheetView>
  </sheetViews>
  <sheetFormatPr defaultRowHeight="14.5" x14ac:dyDescent="0.35"/>
  <cols>
    <col min="1" max="1" width="4.7265625" customWidth="1"/>
    <col min="2" max="2" width="8.453125" customWidth="1"/>
    <col min="3" max="3" width="8.81640625" customWidth="1"/>
    <col min="4" max="4" width="6.90625" customWidth="1"/>
    <col min="5" max="5" width="8" customWidth="1"/>
    <col min="6" max="6" width="10.7265625" customWidth="1"/>
    <col min="9" max="9" width="4.7265625" bestFit="1" customWidth="1"/>
    <col min="10" max="10" width="19" bestFit="1" customWidth="1"/>
    <col min="11" max="11" width="18.1796875" bestFit="1" customWidth="1"/>
    <col min="12" max="12" width="19" bestFit="1" customWidth="1"/>
    <col min="13" max="13" width="11.1796875" bestFit="1" customWidth="1"/>
    <col min="14" max="14" width="8.08984375" bestFit="1" customWidth="1"/>
    <col min="15" max="15" width="12.453125" bestFit="1" customWidth="1"/>
    <col min="16" max="16" width="19" bestFit="1" customWidth="1"/>
    <col min="17" max="17" width="17.36328125" bestFit="1" customWidth="1"/>
    <col min="18" max="18" width="25.54296875" bestFit="1" customWidth="1"/>
    <col min="19" max="19" width="34" bestFit="1" customWidth="1"/>
    <col min="20" max="20" width="17.26953125" bestFit="1" customWidth="1"/>
    <col min="21" max="21" width="16.7265625" bestFit="1" customWidth="1"/>
    <col min="22" max="22" width="19" bestFit="1" customWidth="1"/>
    <col min="23" max="23" width="9.54296875" bestFit="1" customWidth="1"/>
    <col min="24" max="24" width="25.54296875" bestFit="1" customWidth="1"/>
    <col min="25" max="25" width="10.36328125" bestFit="1" customWidth="1"/>
    <col min="26" max="26" width="13.90625" bestFit="1" customWidth="1"/>
    <col min="27" max="27" width="12.36328125" bestFit="1" customWidth="1"/>
    <col min="28" max="28" width="14.6328125" bestFit="1" customWidth="1"/>
  </cols>
  <sheetData>
    <row r="1" spans="1:6" x14ac:dyDescent="0.35">
      <c r="A1" t="s">
        <v>260</v>
      </c>
      <c r="B1" t="s">
        <v>323</v>
      </c>
      <c r="C1" t="s">
        <v>324</v>
      </c>
      <c r="D1" t="s">
        <v>325</v>
      </c>
      <c r="E1" t="s">
        <v>326</v>
      </c>
      <c r="F1" t="s">
        <v>327</v>
      </c>
    </row>
    <row r="2" spans="1:6" x14ac:dyDescent="0.35">
      <c r="A2" s="53"/>
      <c r="B2" s="62"/>
      <c r="C2" s="62"/>
    </row>
    <row r="3" spans="1:6" x14ac:dyDescent="0.35">
      <c r="A3" s="76"/>
      <c r="B3" s="62"/>
      <c r="C3" s="62"/>
    </row>
    <row r="4" spans="1:6" x14ac:dyDescent="0.35">
      <c r="A4" s="53"/>
      <c r="B4" s="62"/>
      <c r="C4" s="62"/>
    </row>
    <row r="5" spans="1:6" x14ac:dyDescent="0.35">
      <c r="A5" s="76"/>
      <c r="B5" s="62"/>
      <c r="C5" s="62"/>
    </row>
    <row r="6" spans="1:6" x14ac:dyDescent="0.35">
      <c r="A6" s="53"/>
      <c r="B6" s="62"/>
      <c r="C6" s="62"/>
    </row>
    <row r="7" spans="1:6" x14ac:dyDescent="0.35">
      <c r="A7" s="76"/>
      <c r="B7" s="62"/>
      <c r="C7" s="62"/>
    </row>
    <row r="8" spans="1:6" x14ac:dyDescent="0.35">
      <c r="A8" s="53"/>
      <c r="B8" s="62"/>
      <c r="C8" s="62"/>
    </row>
    <row r="9" spans="1:6" x14ac:dyDescent="0.35">
      <c r="A9" s="76"/>
      <c r="B9" s="62"/>
      <c r="C9" s="62"/>
    </row>
    <row r="10" spans="1:6" x14ac:dyDescent="0.35">
      <c r="A10" s="53"/>
      <c r="B10" s="62"/>
      <c r="C10" s="62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7030A0"/>
  </sheetPr>
  <dimension ref="A1:L11"/>
  <sheetViews>
    <sheetView topLeftCell="A8" workbookViewId="0">
      <selection activeCell="F15" sqref="F14:F15"/>
    </sheetView>
  </sheetViews>
  <sheetFormatPr defaultRowHeight="14.5" x14ac:dyDescent="0.35"/>
  <cols>
    <col min="1" max="1" width="19" bestFit="1" customWidth="1"/>
    <col min="2" max="2" width="14.6328125" bestFit="1" customWidth="1"/>
    <col min="3" max="3" width="12.81640625" bestFit="1" customWidth="1"/>
    <col min="4" max="4" width="19" bestFit="1" customWidth="1"/>
    <col min="5" max="5" width="17.36328125" bestFit="1" customWidth="1"/>
    <col min="6" max="6" width="14.36328125" customWidth="1"/>
    <col min="7" max="7" width="19" customWidth="1"/>
    <col min="8" max="8" width="13.6328125" bestFit="1" customWidth="1"/>
    <col min="9" max="9" width="16.7265625" bestFit="1" customWidth="1"/>
    <col min="10" max="10" width="11" bestFit="1" customWidth="1"/>
    <col min="11" max="11" width="18.90625" bestFit="1" customWidth="1"/>
    <col min="12" max="12" width="9.08984375" bestFit="1" customWidth="1"/>
  </cols>
  <sheetData>
    <row r="1" spans="1:12" x14ac:dyDescent="0.35">
      <c r="A1" t="s">
        <v>327</v>
      </c>
      <c r="B1" t="s">
        <v>276</v>
      </c>
      <c r="C1" t="s">
        <v>328</v>
      </c>
      <c r="D1" t="s">
        <v>265</v>
      </c>
      <c r="E1" t="s">
        <v>266</v>
      </c>
      <c r="F1" t="s">
        <v>329</v>
      </c>
      <c r="G1" t="s">
        <v>330</v>
      </c>
      <c r="H1" t="s">
        <v>331</v>
      </c>
      <c r="I1" t="s">
        <v>269</v>
      </c>
      <c r="J1" t="s">
        <v>332</v>
      </c>
      <c r="K1" t="s">
        <v>333</v>
      </c>
      <c r="L1" t="s">
        <v>334</v>
      </c>
    </row>
    <row r="2" spans="1:12" x14ac:dyDescent="0.35">
      <c r="A2" t="s">
        <v>335</v>
      </c>
      <c r="B2" t="s">
        <v>302</v>
      </c>
      <c r="C2">
        <v>40000</v>
      </c>
      <c r="D2" t="s">
        <v>293</v>
      </c>
      <c r="E2" t="s">
        <v>294</v>
      </c>
      <c r="F2" t="s">
        <v>14</v>
      </c>
      <c r="G2" t="s">
        <v>279</v>
      </c>
      <c r="H2" t="s">
        <v>280</v>
      </c>
      <c r="I2" t="b">
        <v>1</v>
      </c>
      <c r="J2">
        <v>0</v>
      </c>
      <c r="K2">
        <v>0</v>
      </c>
      <c r="L2">
        <v>1074</v>
      </c>
    </row>
    <row r="3" spans="1:12" x14ac:dyDescent="0.35">
      <c r="A3" t="s">
        <v>336</v>
      </c>
      <c r="B3" t="s">
        <v>291</v>
      </c>
      <c r="C3">
        <v>100000</v>
      </c>
      <c r="D3" t="s">
        <v>286</v>
      </c>
      <c r="E3" t="s">
        <v>287</v>
      </c>
      <c r="F3" t="s">
        <v>14</v>
      </c>
      <c r="G3" t="s">
        <v>279</v>
      </c>
      <c r="H3" t="s">
        <v>280</v>
      </c>
      <c r="I3" t="b">
        <v>1</v>
      </c>
      <c r="J3">
        <v>0</v>
      </c>
      <c r="K3">
        <v>0</v>
      </c>
      <c r="L3">
        <v>1069</v>
      </c>
    </row>
    <row r="4" spans="1:12" x14ac:dyDescent="0.35">
      <c r="A4" t="s">
        <v>337</v>
      </c>
      <c r="B4" t="s">
        <v>338</v>
      </c>
      <c r="C4">
        <v>4000043</v>
      </c>
      <c r="D4" t="s">
        <v>281</v>
      </c>
      <c r="E4" t="s">
        <v>281</v>
      </c>
      <c r="F4" t="s">
        <v>14</v>
      </c>
      <c r="G4" t="s">
        <v>279</v>
      </c>
      <c r="H4" t="s">
        <v>280</v>
      </c>
      <c r="I4" t="b">
        <v>1</v>
      </c>
      <c r="J4">
        <v>0</v>
      </c>
      <c r="K4">
        <v>0</v>
      </c>
      <c r="L4">
        <v>1071</v>
      </c>
    </row>
    <row r="5" spans="1:12" x14ac:dyDescent="0.35">
      <c r="A5" t="s">
        <v>339</v>
      </c>
      <c r="B5" t="s">
        <v>284</v>
      </c>
      <c r="C5">
        <v>889198391</v>
      </c>
      <c r="D5" t="s">
        <v>281</v>
      </c>
      <c r="E5" t="s">
        <v>281</v>
      </c>
      <c r="F5" t="s">
        <v>14</v>
      </c>
      <c r="G5" t="s">
        <v>279</v>
      </c>
      <c r="H5" t="s">
        <v>280</v>
      </c>
      <c r="I5" t="b">
        <v>1</v>
      </c>
      <c r="J5">
        <v>0</v>
      </c>
      <c r="K5">
        <v>0</v>
      </c>
      <c r="L5">
        <v>1072</v>
      </c>
    </row>
    <row r="6" spans="1:12" x14ac:dyDescent="0.35">
      <c r="A6" t="s">
        <v>340</v>
      </c>
      <c r="B6" t="s">
        <v>341</v>
      </c>
      <c r="C6">
        <v>30000</v>
      </c>
      <c r="D6" t="s">
        <v>281</v>
      </c>
      <c r="E6" t="s">
        <v>281</v>
      </c>
      <c r="F6" t="s">
        <v>14</v>
      </c>
      <c r="G6" t="s">
        <v>279</v>
      </c>
      <c r="H6" t="s">
        <v>280</v>
      </c>
      <c r="I6" t="b">
        <v>1</v>
      </c>
      <c r="J6">
        <v>0</v>
      </c>
      <c r="K6">
        <v>0</v>
      </c>
      <c r="L6">
        <v>1076</v>
      </c>
    </row>
    <row r="7" spans="1:12" x14ac:dyDescent="0.35">
      <c r="A7" t="s">
        <v>342</v>
      </c>
      <c r="B7" t="s">
        <v>343</v>
      </c>
      <c r="C7">
        <v>5000000</v>
      </c>
      <c r="D7" t="s">
        <v>281</v>
      </c>
      <c r="E7" t="s">
        <v>281</v>
      </c>
      <c r="F7" t="s">
        <v>14</v>
      </c>
      <c r="G7" t="s">
        <v>279</v>
      </c>
      <c r="H7" t="s">
        <v>280</v>
      </c>
      <c r="I7" t="b">
        <v>1</v>
      </c>
      <c r="J7">
        <v>0</v>
      </c>
      <c r="K7">
        <v>0</v>
      </c>
      <c r="L7">
        <v>1075</v>
      </c>
    </row>
    <row r="8" spans="1:12" x14ac:dyDescent="0.35">
      <c r="A8" t="s">
        <v>344</v>
      </c>
      <c r="B8" t="s">
        <v>280</v>
      </c>
      <c r="C8">
        <v>55902</v>
      </c>
      <c r="D8" t="s">
        <v>281</v>
      </c>
      <c r="E8" t="s">
        <v>281</v>
      </c>
      <c r="F8" t="s">
        <v>14</v>
      </c>
      <c r="G8" t="s">
        <v>279</v>
      </c>
      <c r="H8" t="s">
        <v>280</v>
      </c>
      <c r="I8" t="b">
        <v>1</v>
      </c>
      <c r="J8">
        <v>0</v>
      </c>
      <c r="K8">
        <v>0</v>
      </c>
      <c r="L8">
        <v>1073</v>
      </c>
    </row>
    <row r="9" spans="1:12" x14ac:dyDescent="0.35">
      <c r="A9" t="s">
        <v>345</v>
      </c>
      <c r="B9" t="s">
        <v>346</v>
      </c>
      <c r="C9">
        <v>0</v>
      </c>
      <c r="D9" t="s">
        <v>281</v>
      </c>
      <c r="E9" t="s">
        <v>281</v>
      </c>
      <c r="F9" t="s">
        <v>14</v>
      </c>
      <c r="G9" t="s">
        <v>279</v>
      </c>
      <c r="H9" t="s">
        <v>280</v>
      </c>
      <c r="I9" t="b">
        <v>1</v>
      </c>
      <c r="J9">
        <v>0</v>
      </c>
      <c r="K9">
        <v>0</v>
      </c>
      <c r="L9">
        <v>1068</v>
      </c>
    </row>
    <row r="10" spans="1:12" x14ac:dyDescent="0.35">
      <c r="A10" t="s">
        <v>347</v>
      </c>
      <c r="B10" t="s">
        <v>348</v>
      </c>
      <c r="C10">
        <v>100000</v>
      </c>
      <c r="D10" t="s">
        <v>293</v>
      </c>
      <c r="E10" t="s">
        <v>294</v>
      </c>
      <c r="F10" t="s">
        <v>14</v>
      </c>
      <c r="G10" t="s">
        <v>279</v>
      </c>
      <c r="H10" t="s">
        <v>280</v>
      </c>
      <c r="I10" t="b">
        <v>1</v>
      </c>
      <c r="J10">
        <v>0</v>
      </c>
      <c r="K10">
        <v>0</v>
      </c>
      <c r="L10">
        <v>1070</v>
      </c>
    </row>
    <row r="11" spans="1:12" x14ac:dyDescent="0.35">
      <c r="A11" t="s">
        <v>349</v>
      </c>
      <c r="B11" t="s">
        <v>297</v>
      </c>
      <c r="C11">
        <v>200000</v>
      </c>
      <c r="D11" t="s">
        <v>293</v>
      </c>
      <c r="E11" t="s">
        <v>294</v>
      </c>
      <c r="F11" t="s">
        <v>14</v>
      </c>
      <c r="G11" t="s">
        <v>279</v>
      </c>
      <c r="H11" t="s">
        <v>280</v>
      </c>
      <c r="I11" t="b">
        <v>1</v>
      </c>
      <c r="J11">
        <v>0</v>
      </c>
      <c r="K11">
        <v>0</v>
      </c>
      <c r="L11">
        <v>1077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7030A0"/>
  </sheetPr>
  <dimension ref="A1:F1"/>
  <sheetViews>
    <sheetView workbookViewId="0"/>
  </sheetViews>
  <sheetFormatPr defaultRowHeight="14.5" x14ac:dyDescent="0.35"/>
  <cols>
    <col min="1" max="1" width="4.7265625" bestFit="1" customWidth="1"/>
    <col min="2" max="2" width="8.453125" bestFit="1" customWidth="1"/>
    <col min="3" max="3" width="8.81640625" bestFit="1" customWidth="1"/>
    <col min="4" max="4" width="6.90625" bestFit="1" customWidth="1"/>
    <col min="5" max="5" width="8" bestFit="1" customWidth="1"/>
    <col min="6" max="6" width="10.7265625" bestFit="1" customWidth="1"/>
  </cols>
  <sheetData>
    <row r="1" spans="1:6" x14ac:dyDescent="0.35">
      <c r="A1" t="s">
        <v>260</v>
      </c>
      <c r="B1" t="s">
        <v>323</v>
      </c>
      <c r="C1" t="s">
        <v>324</v>
      </c>
      <c r="D1" t="s">
        <v>325</v>
      </c>
      <c r="E1" t="s">
        <v>326</v>
      </c>
      <c r="F1" t="s">
        <v>327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7030A0"/>
  </sheetPr>
  <dimension ref="A1:E11"/>
  <sheetViews>
    <sheetView topLeftCell="D1" workbookViewId="0">
      <selection activeCell="E16" sqref="E16"/>
    </sheetView>
  </sheetViews>
  <sheetFormatPr defaultRowHeight="14.5" x14ac:dyDescent="0.35"/>
  <cols>
    <col min="1" max="1" width="4.81640625" bestFit="1" customWidth="1"/>
    <col min="2" max="2" width="8.453125" bestFit="1" customWidth="1"/>
    <col min="3" max="3" width="19" bestFit="1" customWidth="1"/>
    <col min="4" max="4" width="6.90625" bestFit="1" customWidth="1"/>
    <col min="5" max="5" width="10.453125" bestFit="1" customWidth="1"/>
  </cols>
  <sheetData>
    <row r="1" spans="1:5" x14ac:dyDescent="0.35">
      <c r="A1" t="s">
        <v>260</v>
      </c>
      <c r="B1" t="s">
        <v>323</v>
      </c>
      <c r="C1" t="s">
        <v>324</v>
      </c>
      <c r="D1" t="s">
        <v>325</v>
      </c>
      <c r="E1" t="s">
        <v>326</v>
      </c>
    </row>
    <row r="2" spans="1:5" x14ac:dyDescent="0.35">
      <c r="A2">
        <v>1068</v>
      </c>
      <c r="B2" t="s">
        <v>350</v>
      </c>
      <c r="C2" t="s">
        <v>279</v>
      </c>
      <c r="D2">
        <v>0</v>
      </c>
      <c r="E2" t="s">
        <v>280</v>
      </c>
    </row>
    <row r="3" spans="1:5" x14ac:dyDescent="0.35">
      <c r="A3">
        <v>1069</v>
      </c>
      <c r="B3" t="s">
        <v>350</v>
      </c>
      <c r="C3" t="s">
        <v>279</v>
      </c>
      <c r="D3">
        <v>30</v>
      </c>
      <c r="E3" t="s">
        <v>280</v>
      </c>
    </row>
    <row r="4" spans="1:5" x14ac:dyDescent="0.35">
      <c r="A4">
        <v>1070</v>
      </c>
      <c r="B4" t="s">
        <v>350</v>
      </c>
      <c r="C4" t="s">
        <v>279</v>
      </c>
      <c r="D4">
        <v>500</v>
      </c>
      <c r="E4" t="s">
        <v>280</v>
      </c>
    </row>
    <row r="5" spans="1:5" x14ac:dyDescent="0.35">
      <c r="A5">
        <v>1071</v>
      </c>
      <c r="B5" t="s">
        <v>350</v>
      </c>
      <c r="C5" t="s">
        <v>279</v>
      </c>
      <c r="D5">
        <v>2090</v>
      </c>
      <c r="E5" t="s">
        <v>280</v>
      </c>
    </row>
    <row r="6" spans="1:5" x14ac:dyDescent="0.35">
      <c r="A6">
        <v>1072</v>
      </c>
      <c r="B6" t="s">
        <v>350</v>
      </c>
      <c r="C6" t="s">
        <v>279</v>
      </c>
      <c r="D6">
        <v>65</v>
      </c>
      <c r="E6" t="s">
        <v>280</v>
      </c>
    </row>
    <row r="7" spans="1:5" x14ac:dyDescent="0.35">
      <c r="A7">
        <v>1073</v>
      </c>
      <c r="B7" t="s">
        <v>350</v>
      </c>
      <c r="C7" t="s">
        <v>279</v>
      </c>
      <c r="D7">
        <v>400</v>
      </c>
      <c r="E7" t="s">
        <v>280</v>
      </c>
    </row>
    <row r="8" spans="1:5" x14ac:dyDescent="0.35">
      <c r="A8">
        <v>1074</v>
      </c>
      <c r="B8" t="s">
        <v>350</v>
      </c>
      <c r="C8" t="s">
        <v>279</v>
      </c>
      <c r="D8">
        <v>250</v>
      </c>
      <c r="E8" t="s">
        <v>280</v>
      </c>
    </row>
    <row r="9" spans="1:5" x14ac:dyDescent="0.35">
      <c r="A9">
        <v>1075</v>
      </c>
      <c r="B9" t="s">
        <v>350</v>
      </c>
      <c r="C9" t="s">
        <v>279</v>
      </c>
      <c r="D9">
        <v>32</v>
      </c>
      <c r="E9" t="s">
        <v>280</v>
      </c>
    </row>
    <row r="10" spans="1:5" x14ac:dyDescent="0.35">
      <c r="A10">
        <v>1076</v>
      </c>
      <c r="B10" t="s">
        <v>350</v>
      </c>
      <c r="C10" t="s">
        <v>279</v>
      </c>
      <c r="D10">
        <v>667</v>
      </c>
      <c r="E10" t="s">
        <v>280</v>
      </c>
    </row>
    <row r="11" spans="1:5" x14ac:dyDescent="0.35">
      <c r="A11">
        <v>1077</v>
      </c>
      <c r="B11" t="s">
        <v>350</v>
      </c>
      <c r="C11" t="s">
        <v>279</v>
      </c>
      <c r="D11">
        <v>1500</v>
      </c>
      <c r="E11" t="s">
        <v>280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7030A0"/>
  </sheetPr>
  <dimension ref="A1:D1"/>
  <sheetViews>
    <sheetView topLeftCell="C1" workbookViewId="0"/>
  </sheetViews>
  <sheetFormatPr defaultRowHeight="14.5" x14ac:dyDescent="0.35"/>
  <cols>
    <col min="1" max="1" width="4.7265625" bestFit="1" customWidth="1"/>
    <col min="2" max="2" width="12.08984375" bestFit="1" customWidth="1"/>
    <col min="3" max="3" width="8.81640625" bestFit="1" customWidth="1"/>
    <col min="4" max="4" width="10.7265625" bestFit="1" customWidth="1"/>
  </cols>
  <sheetData>
    <row r="1" spans="1:4" x14ac:dyDescent="0.35">
      <c r="A1" t="s">
        <v>260</v>
      </c>
      <c r="B1" t="s">
        <v>351</v>
      </c>
      <c r="C1" t="s">
        <v>352</v>
      </c>
      <c r="D1" t="s">
        <v>327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7030A0"/>
  </sheetPr>
  <dimension ref="A1:U11"/>
  <sheetViews>
    <sheetView topLeftCell="L11" workbookViewId="0">
      <selection activeCell="M20" sqref="L15:M20"/>
    </sheetView>
  </sheetViews>
  <sheetFormatPr defaultRowHeight="14.5" x14ac:dyDescent="0.35"/>
  <cols>
    <col min="1" max="1" width="4.7265625" customWidth="1"/>
    <col min="2" max="2" width="19" customWidth="1"/>
    <col min="3" max="3" width="18.1796875" bestFit="1" customWidth="1"/>
    <col min="4" max="4" width="19" bestFit="1" customWidth="1"/>
    <col min="5" max="5" width="11.1796875" bestFit="1" customWidth="1"/>
    <col min="6" max="6" width="8.08984375" bestFit="1" customWidth="1"/>
    <col min="7" max="7" width="12.453125" bestFit="1" customWidth="1"/>
    <col min="8" max="8" width="19" bestFit="1" customWidth="1"/>
    <col min="9" max="9" width="17.36328125" bestFit="1" customWidth="1"/>
    <col min="10" max="10" width="25.54296875" bestFit="1" customWidth="1"/>
    <col min="11" max="11" width="34" bestFit="1" customWidth="1"/>
    <col min="12" max="12" width="17.26953125" customWidth="1"/>
    <col min="13" max="13" width="16.7265625" customWidth="1"/>
    <col min="14" max="14" width="19" bestFit="1" customWidth="1"/>
    <col min="15" max="15" width="9.54296875" bestFit="1" customWidth="1"/>
    <col min="16" max="16" width="25.54296875" bestFit="1" customWidth="1"/>
    <col min="17" max="17" width="10.36328125" bestFit="1" customWidth="1"/>
    <col min="18" max="18" width="13.90625" bestFit="1" customWidth="1"/>
    <col min="19" max="19" width="12.36328125" bestFit="1" customWidth="1"/>
    <col min="20" max="20" width="14.6328125" bestFit="1" customWidth="1"/>
    <col min="21" max="21" width="19" bestFit="1" customWidth="1"/>
  </cols>
  <sheetData>
    <row r="1" spans="1:21" x14ac:dyDescent="0.35">
      <c r="A1" t="s">
        <v>260</v>
      </c>
      <c r="B1" t="s">
        <v>261</v>
      </c>
      <c r="C1" t="s">
        <v>262</v>
      </c>
      <c r="D1" t="s">
        <v>180</v>
      </c>
      <c r="E1" t="s">
        <v>263</v>
      </c>
      <c r="F1" t="s">
        <v>35</v>
      </c>
      <c r="G1" t="s">
        <v>264</v>
      </c>
      <c r="H1" t="s">
        <v>265</v>
      </c>
      <c r="I1" t="s">
        <v>266</v>
      </c>
      <c r="J1" t="s">
        <v>267</v>
      </c>
      <c r="K1" t="s">
        <v>164</v>
      </c>
      <c r="L1" t="s">
        <v>268</v>
      </c>
      <c r="M1" t="s">
        <v>269</v>
      </c>
      <c r="N1" t="s">
        <v>270</v>
      </c>
      <c r="O1" t="s">
        <v>271</v>
      </c>
      <c r="P1" t="s">
        <v>272</v>
      </c>
      <c r="Q1" t="s">
        <v>273</v>
      </c>
      <c r="R1" t="s">
        <v>274</v>
      </c>
      <c r="S1" t="s">
        <v>275</v>
      </c>
      <c r="T1" t="s">
        <v>276</v>
      </c>
      <c r="U1" t="s">
        <v>327</v>
      </c>
    </row>
    <row r="2" spans="1:21" x14ac:dyDescent="0.35">
      <c r="A2">
        <v>31</v>
      </c>
      <c r="B2" t="s">
        <v>277</v>
      </c>
      <c r="C2" t="s">
        <v>278</v>
      </c>
      <c r="D2" t="s">
        <v>279</v>
      </c>
      <c r="E2" t="s">
        <v>14</v>
      </c>
      <c r="F2" t="s">
        <v>184</v>
      </c>
      <c r="G2" t="s">
        <v>280</v>
      </c>
      <c r="H2" t="s">
        <v>281</v>
      </c>
      <c r="I2" t="s">
        <v>281</v>
      </c>
      <c r="J2" t="s">
        <v>282</v>
      </c>
      <c r="K2" t="s">
        <v>281</v>
      </c>
      <c r="L2" t="s">
        <v>281</v>
      </c>
      <c r="M2" t="b">
        <v>1</v>
      </c>
      <c r="N2" t="s">
        <v>279</v>
      </c>
      <c r="O2" t="b">
        <v>1</v>
      </c>
      <c r="P2" t="s">
        <v>283</v>
      </c>
      <c r="Q2">
        <v>1</v>
      </c>
      <c r="R2">
        <v>0</v>
      </c>
      <c r="S2" t="s">
        <v>123</v>
      </c>
      <c r="T2" t="s">
        <v>284</v>
      </c>
      <c r="U2" t="s">
        <v>339</v>
      </c>
    </row>
    <row r="3" spans="1:21" x14ac:dyDescent="0.35">
      <c r="A3">
        <v>32</v>
      </c>
      <c r="B3" t="s">
        <v>285</v>
      </c>
      <c r="C3" t="s">
        <v>37</v>
      </c>
      <c r="D3" t="s">
        <v>279</v>
      </c>
      <c r="E3" t="s">
        <v>14</v>
      </c>
      <c r="F3" t="s">
        <v>198</v>
      </c>
      <c r="G3" t="s">
        <v>280</v>
      </c>
      <c r="H3" t="s">
        <v>286</v>
      </c>
      <c r="I3" t="s">
        <v>287</v>
      </c>
      <c r="J3" t="s">
        <v>288</v>
      </c>
      <c r="K3" t="s">
        <v>289</v>
      </c>
      <c r="L3" t="s">
        <v>47</v>
      </c>
      <c r="M3" t="b">
        <v>1</v>
      </c>
      <c r="N3" t="s">
        <v>279</v>
      </c>
      <c r="O3" t="b">
        <v>1</v>
      </c>
      <c r="P3" t="s">
        <v>290</v>
      </c>
      <c r="Q3">
        <v>1</v>
      </c>
      <c r="R3">
        <v>500</v>
      </c>
      <c r="S3" t="s">
        <v>123</v>
      </c>
      <c r="T3" t="s">
        <v>291</v>
      </c>
      <c r="U3" t="s">
        <v>336</v>
      </c>
    </row>
    <row r="4" spans="1:21" x14ac:dyDescent="0.35">
      <c r="A4">
        <v>33</v>
      </c>
      <c r="B4" t="s">
        <v>292</v>
      </c>
      <c r="C4" t="s">
        <v>37</v>
      </c>
      <c r="D4" t="s">
        <v>279</v>
      </c>
      <c r="E4" t="s">
        <v>14</v>
      </c>
      <c r="F4" t="s">
        <v>184</v>
      </c>
      <c r="G4" t="s">
        <v>280</v>
      </c>
      <c r="H4" t="s">
        <v>293</v>
      </c>
      <c r="I4" t="s">
        <v>294</v>
      </c>
      <c r="J4" t="s">
        <v>295</v>
      </c>
      <c r="K4" t="s">
        <v>281</v>
      </c>
      <c r="L4" t="s">
        <v>281</v>
      </c>
      <c r="M4" t="b">
        <v>1</v>
      </c>
      <c r="N4" t="s">
        <v>279</v>
      </c>
      <c r="O4" t="b">
        <v>1</v>
      </c>
      <c r="P4" t="s">
        <v>296</v>
      </c>
      <c r="Q4">
        <v>1</v>
      </c>
      <c r="R4">
        <v>0</v>
      </c>
      <c r="S4" t="s">
        <v>123</v>
      </c>
      <c r="T4" t="s">
        <v>297</v>
      </c>
      <c r="U4" t="s">
        <v>349</v>
      </c>
    </row>
    <row r="5" spans="1:21" x14ac:dyDescent="0.35">
      <c r="A5">
        <v>34</v>
      </c>
      <c r="B5" t="s">
        <v>298</v>
      </c>
      <c r="C5" t="s">
        <v>299</v>
      </c>
      <c r="D5" t="s">
        <v>279</v>
      </c>
      <c r="E5" t="s">
        <v>14</v>
      </c>
      <c r="F5" t="s">
        <v>184</v>
      </c>
      <c r="G5" t="s">
        <v>280</v>
      </c>
      <c r="H5" t="s">
        <v>293</v>
      </c>
      <c r="I5" t="s">
        <v>294</v>
      </c>
      <c r="J5" t="s">
        <v>295</v>
      </c>
      <c r="K5" t="s">
        <v>300</v>
      </c>
      <c r="L5" t="s">
        <v>47</v>
      </c>
      <c r="M5" t="b">
        <v>1</v>
      </c>
      <c r="N5" t="s">
        <v>279</v>
      </c>
      <c r="O5" t="b">
        <v>1</v>
      </c>
      <c r="P5" t="s">
        <v>301</v>
      </c>
      <c r="Q5">
        <v>1</v>
      </c>
      <c r="R5">
        <v>1000</v>
      </c>
      <c r="S5" t="s">
        <v>123</v>
      </c>
      <c r="T5" t="s">
        <v>302</v>
      </c>
      <c r="U5" t="s">
        <v>335</v>
      </c>
    </row>
    <row r="6" spans="1:21" x14ac:dyDescent="0.35">
      <c r="A6">
        <v>35</v>
      </c>
      <c r="B6" t="s">
        <v>303</v>
      </c>
      <c r="C6" t="s">
        <v>304</v>
      </c>
      <c r="D6" t="s">
        <v>279</v>
      </c>
      <c r="E6" t="s">
        <v>14</v>
      </c>
      <c r="F6" t="s">
        <v>184</v>
      </c>
      <c r="G6" t="s">
        <v>280</v>
      </c>
      <c r="H6" t="s">
        <v>293</v>
      </c>
      <c r="I6" t="s">
        <v>294</v>
      </c>
      <c r="J6" t="s">
        <v>295</v>
      </c>
      <c r="K6" t="s">
        <v>305</v>
      </c>
      <c r="L6" t="s">
        <v>306</v>
      </c>
      <c r="M6" t="b">
        <v>1</v>
      </c>
      <c r="N6" t="s">
        <v>279</v>
      </c>
      <c r="O6" t="b">
        <v>1</v>
      </c>
      <c r="P6" t="s">
        <v>301</v>
      </c>
      <c r="Q6">
        <v>1</v>
      </c>
      <c r="R6">
        <v>500</v>
      </c>
      <c r="S6" t="s">
        <v>123</v>
      </c>
      <c r="T6" t="s">
        <v>302</v>
      </c>
      <c r="U6" t="s">
        <v>335</v>
      </c>
    </row>
    <row r="7" spans="1:21" x14ac:dyDescent="0.35">
      <c r="A7">
        <v>36</v>
      </c>
      <c r="B7" t="s">
        <v>307</v>
      </c>
      <c r="C7" t="s">
        <v>308</v>
      </c>
      <c r="D7" t="s">
        <v>279</v>
      </c>
      <c r="E7" t="s">
        <v>14</v>
      </c>
      <c r="F7" t="s">
        <v>309</v>
      </c>
      <c r="G7" t="s">
        <v>280</v>
      </c>
      <c r="H7" t="s">
        <v>293</v>
      </c>
      <c r="I7" t="s">
        <v>294</v>
      </c>
      <c r="J7" t="s">
        <v>301</v>
      </c>
      <c r="K7" t="s">
        <v>310</v>
      </c>
      <c r="L7" t="s">
        <v>47</v>
      </c>
      <c r="M7" t="b">
        <v>1</v>
      </c>
      <c r="N7" t="s">
        <v>279</v>
      </c>
      <c r="O7" t="b">
        <v>1</v>
      </c>
      <c r="P7" t="s">
        <v>290</v>
      </c>
      <c r="Q7">
        <v>1</v>
      </c>
      <c r="R7">
        <v>150</v>
      </c>
      <c r="S7" t="s">
        <v>123</v>
      </c>
      <c r="T7" t="s">
        <v>302</v>
      </c>
      <c r="U7" t="s">
        <v>335</v>
      </c>
    </row>
    <row r="8" spans="1:21" x14ac:dyDescent="0.35">
      <c r="A8">
        <v>37</v>
      </c>
      <c r="B8" t="s">
        <v>311</v>
      </c>
      <c r="C8" t="s">
        <v>312</v>
      </c>
      <c r="D8" t="s">
        <v>279</v>
      </c>
      <c r="E8" t="s">
        <v>14</v>
      </c>
      <c r="F8" t="s">
        <v>184</v>
      </c>
      <c r="G8" t="s">
        <v>280</v>
      </c>
      <c r="H8" t="s">
        <v>281</v>
      </c>
      <c r="I8" t="s">
        <v>281</v>
      </c>
      <c r="J8" t="s">
        <v>282</v>
      </c>
      <c r="K8" t="s">
        <v>281</v>
      </c>
      <c r="L8" t="s">
        <v>281</v>
      </c>
      <c r="M8" t="b">
        <v>1</v>
      </c>
      <c r="N8" t="s">
        <v>281</v>
      </c>
      <c r="O8" t="b">
        <v>1</v>
      </c>
      <c r="P8" t="s">
        <v>301</v>
      </c>
      <c r="Q8">
        <v>1</v>
      </c>
      <c r="R8">
        <v>0</v>
      </c>
      <c r="S8" t="s">
        <v>123</v>
      </c>
      <c r="T8" t="s">
        <v>281</v>
      </c>
      <c r="U8" t="s">
        <v>281</v>
      </c>
    </row>
    <row r="9" spans="1:21" x14ac:dyDescent="0.35">
      <c r="A9">
        <v>38</v>
      </c>
      <c r="B9" t="s">
        <v>313</v>
      </c>
      <c r="C9" t="s">
        <v>314</v>
      </c>
      <c r="D9" t="s">
        <v>279</v>
      </c>
      <c r="E9" t="s">
        <v>14</v>
      </c>
      <c r="F9" t="s">
        <v>184</v>
      </c>
      <c r="G9" t="s">
        <v>280</v>
      </c>
      <c r="H9" t="s">
        <v>286</v>
      </c>
      <c r="I9" t="s">
        <v>287</v>
      </c>
      <c r="J9" t="s">
        <v>282</v>
      </c>
      <c r="K9" t="s">
        <v>281</v>
      </c>
      <c r="L9" t="s">
        <v>281</v>
      </c>
      <c r="M9" t="b">
        <v>1</v>
      </c>
      <c r="N9" t="s">
        <v>279</v>
      </c>
      <c r="O9" t="b">
        <v>1</v>
      </c>
      <c r="P9" t="s">
        <v>315</v>
      </c>
      <c r="Q9">
        <v>1</v>
      </c>
      <c r="R9">
        <v>0</v>
      </c>
      <c r="S9" t="s">
        <v>123</v>
      </c>
      <c r="T9" t="s">
        <v>291</v>
      </c>
      <c r="U9" t="s">
        <v>336</v>
      </c>
    </row>
    <row r="10" spans="1:21" x14ac:dyDescent="0.35">
      <c r="A10">
        <v>39</v>
      </c>
      <c r="B10" t="s">
        <v>316</v>
      </c>
      <c r="C10" t="s">
        <v>317</v>
      </c>
      <c r="D10" t="s">
        <v>279</v>
      </c>
      <c r="E10" t="s">
        <v>14</v>
      </c>
      <c r="F10" t="s">
        <v>184</v>
      </c>
      <c r="G10" t="s">
        <v>280</v>
      </c>
      <c r="H10" t="s">
        <v>293</v>
      </c>
      <c r="I10" t="s">
        <v>294</v>
      </c>
      <c r="J10" t="s">
        <v>318</v>
      </c>
      <c r="K10" t="s">
        <v>319</v>
      </c>
      <c r="L10" t="s">
        <v>47</v>
      </c>
      <c r="M10" t="b">
        <v>1</v>
      </c>
      <c r="N10" t="s">
        <v>279</v>
      </c>
      <c r="O10" t="b">
        <v>1</v>
      </c>
      <c r="P10" t="s">
        <v>315</v>
      </c>
      <c r="Q10">
        <v>1</v>
      </c>
      <c r="R10">
        <v>1000</v>
      </c>
      <c r="S10" t="s">
        <v>123</v>
      </c>
      <c r="T10" t="s">
        <v>297</v>
      </c>
      <c r="U10" t="s">
        <v>349</v>
      </c>
    </row>
    <row r="11" spans="1:21" x14ac:dyDescent="0.35">
      <c r="A11">
        <v>40</v>
      </c>
      <c r="B11" t="s">
        <v>320</v>
      </c>
      <c r="C11" t="s">
        <v>19</v>
      </c>
      <c r="D11" t="s">
        <v>279</v>
      </c>
      <c r="E11" t="s">
        <v>321</v>
      </c>
      <c r="F11" t="s">
        <v>103</v>
      </c>
      <c r="G11" t="s">
        <v>280</v>
      </c>
      <c r="H11" t="s">
        <v>293</v>
      </c>
      <c r="I11" t="s">
        <v>294</v>
      </c>
      <c r="J11" t="s">
        <v>295</v>
      </c>
      <c r="K11" t="s">
        <v>322</v>
      </c>
      <c r="L11" t="s">
        <v>47</v>
      </c>
      <c r="M11" t="b">
        <v>1</v>
      </c>
      <c r="N11" t="s">
        <v>279</v>
      </c>
      <c r="O11" t="b">
        <v>1</v>
      </c>
      <c r="P11" t="s">
        <v>290</v>
      </c>
      <c r="Q11">
        <v>1</v>
      </c>
      <c r="R11">
        <v>150</v>
      </c>
      <c r="S11" t="s">
        <v>123</v>
      </c>
      <c r="T11" t="s">
        <v>302</v>
      </c>
      <c r="U11" t="s">
        <v>335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7030A0"/>
  </sheetPr>
  <dimension ref="A1:T11"/>
  <sheetViews>
    <sheetView topLeftCell="A8" workbookViewId="0">
      <selection activeCell="C17" sqref="B14:C17"/>
    </sheetView>
  </sheetViews>
  <sheetFormatPr defaultRowHeight="14.5" x14ac:dyDescent="0.35"/>
  <cols>
    <col min="1" max="1" width="4.7265625" bestFit="1" customWidth="1"/>
    <col min="2" max="2" width="19" customWidth="1"/>
    <col min="3" max="3" width="18.1796875" customWidth="1"/>
    <col min="4" max="4" width="19" bestFit="1" customWidth="1"/>
    <col min="5" max="5" width="11.1796875" bestFit="1" customWidth="1"/>
    <col min="6" max="6" width="8.08984375" bestFit="1" customWidth="1"/>
    <col min="7" max="7" width="12.453125" bestFit="1" customWidth="1"/>
    <col min="8" max="8" width="19" bestFit="1" customWidth="1"/>
    <col min="9" max="9" width="17.36328125" bestFit="1" customWidth="1"/>
    <col min="10" max="10" width="25.54296875" bestFit="1" customWidth="1"/>
    <col min="11" max="11" width="34" bestFit="1" customWidth="1"/>
    <col min="12" max="12" width="17.26953125" bestFit="1" customWidth="1"/>
    <col min="13" max="13" width="16.7265625" bestFit="1" customWidth="1"/>
    <col min="14" max="14" width="19" bestFit="1" customWidth="1"/>
    <col min="15" max="15" width="9.54296875" bestFit="1" customWidth="1"/>
    <col min="16" max="16" width="25.54296875" bestFit="1" customWidth="1"/>
    <col min="17" max="17" width="10.36328125" bestFit="1" customWidth="1"/>
    <col min="18" max="18" width="13.90625" bestFit="1" customWidth="1"/>
    <col min="19" max="19" width="12.36328125" bestFit="1" customWidth="1"/>
    <col min="20" max="20" width="14.6328125" bestFit="1" customWidth="1"/>
  </cols>
  <sheetData>
    <row r="1" spans="1:20" x14ac:dyDescent="0.35">
      <c r="A1" t="s">
        <v>260</v>
      </c>
      <c r="B1" t="s">
        <v>261</v>
      </c>
      <c r="C1" t="s">
        <v>262</v>
      </c>
      <c r="D1" t="s">
        <v>180</v>
      </c>
      <c r="E1" t="s">
        <v>263</v>
      </c>
      <c r="F1" t="s">
        <v>35</v>
      </c>
      <c r="G1" t="s">
        <v>264</v>
      </c>
      <c r="H1" t="s">
        <v>265</v>
      </c>
      <c r="I1" t="s">
        <v>266</v>
      </c>
      <c r="J1" t="s">
        <v>267</v>
      </c>
      <c r="K1" t="s">
        <v>164</v>
      </c>
      <c r="L1" t="s">
        <v>268</v>
      </c>
      <c r="M1" t="s">
        <v>269</v>
      </c>
      <c r="N1" t="s">
        <v>270</v>
      </c>
      <c r="O1" t="s">
        <v>271</v>
      </c>
      <c r="P1" t="s">
        <v>272</v>
      </c>
      <c r="Q1" t="s">
        <v>273</v>
      </c>
      <c r="R1" t="s">
        <v>274</v>
      </c>
      <c r="S1" t="s">
        <v>275</v>
      </c>
      <c r="T1" t="s">
        <v>276</v>
      </c>
    </row>
    <row r="2" spans="1:20" x14ac:dyDescent="0.35">
      <c r="A2">
        <v>41</v>
      </c>
      <c r="B2" t="s">
        <v>277</v>
      </c>
      <c r="C2" t="s">
        <v>278</v>
      </c>
      <c r="D2" t="s">
        <v>279</v>
      </c>
      <c r="E2" t="s">
        <v>14</v>
      </c>
      <c r="F2" t="s">
        <v>184</v>
      </c>
      <c r="G2" t="s">
        <v>280</v>
      </c>
      <c r="H2" t="s">
        <v>281</v>
      </c>
      <c r="I2" t="s">
        <v>281</v>
      </c>
      <c r="J2" t="s">
        <v>282</v>
      </c>
      <c r="K2" t="s">
        <v>281</v>
      </c>
      <c r="L2" t="s">
        <v>281</v>
      </c>
      <c r="M2" t="b">
        <v>1</v>
      </c>
      <c r="N2" t="s">
        <v>279</v>
      </c>
      <c r="O2" t="b">
        <v>1</v>
      </c>
      <c r="P2" t="s">
        <v>283</v>
      </c>
      <c r="Q2">
        <v>1</v>
      </c>
      <c r="R2">
        <v>0</v>
      </c>
      <c r="S2" t="s">
        <v>123</v>
      </c>
      <c r="T2" t="s">
        <v>284</v>
      </c>
    </row>
    <row r="3" spans="1:20" x14ac:dyDescent="0.35">
      <c r="A3">
        <v>42</v>
      </c>
      <c r="B3" t="s">
        <v>285</v>
      </c>
      <c r="C3" t="s">
        <v>37</v>
      </c>
      <c r="D3" t="s">
        <v>279</v>
      </c>
      <c r="E3" t="s">
        <v>14</v>
      </c>
      <c r="F3" t="s">
        <v>198</v>
      </c>
      <c r="G3" t="s">
        <v>280</v>
      </c>
      <c r="H3" t="s">
        <v>286</v>
      </c>
      <c r="I3" t="s">
        <v>287</v>
      </c>
      <c r="J3" t="s">
        <v>288</v>
      </c>
      <c r="K3" t="s">
        <v>289</v>
      </c>
      <c r="L3" t="s">
        <v>47</v>
      </c>
      <c r="M3" t="b">
        <v>1</v>
      </c>
      <c r="N3" t="s">
        <v>279</v>
      </c>
      <c r="O3" t="b">
        <v>1</v>
      </c>
      <c r="P3" t="s">
        <v>290</v>
      </c>
      <c r="Q3">
        <v>1</v>
      </c>
      <c r="R3">
        <v>500</v>
      </c>
      <c r="S3" t="s">
        <v>123</v>
      </c>
      <c r="T3" t="s">
        <v>291</v>
      </c>
    </row>
    <row r="4" spans="1:20" x14ac:dyDescent="0.35">
      <c r="A4">
        <v>43</v>
      </c>
      <c r="B4" t="s">
        <v>292</v>
      </c>
      <c r="C4" t="s">
        <v>37</v>
      </c>
      <c r="D4" t="s">
        <v>279</v>
      </c>
      <c r="E4" t="s">
        <v>14</v>
      </c>
      <c r="F4" t="s">
        <v>184</v>
      </c>
      <c r="G4" t="s">
        <v>280</v>
      </c>
      <c r="H4" t="s">
        <v>293</v>
      </c>
      <c r="I4" t="s">
        <v>294</v>
      </c>
      <c r="J4" t="s">
        <v>295</v>
      </c>
      <c r="K4" t="s">
        <v>281</v>
      </c>
      <c r="L4" t="s">
        <v>281</v>
      </c>
      <c r="M4" t="b">
        <v>1</v>
      </c>
      <c r="N4" t="s">
        <v>279</v>
      </c>
      <c r="O4" t="b">
        <v>1</v>
      </c>
      <c r="P4" t="s">
        <v>296</v>
      </c>
      <c r="Q4">
        <v>1</v>
      </c>
      <c r="R4">
        <v>0</v>
      </c>
      <c r="S4" t="s">
        <v>123</v>
      </c>
      <c r="T4" t="s">
        <v>297</v>
      </c>
    </row>
    <row r="5" spans="1:20" x14ac:dyDescent="0.35">
      <c r="A5">
        <v>44</v>
      </c>
      <c r="B5" t="s">
        <v>298</v>
      </c>
      <c r="C5" t="s">
        <v>299</v>
      </c>
      <c r="D5" t="s">
        <v>279</v>
      </c>
      <c r="E5" t="s">
        <v>14</v>
      </c>
      <c r="F5" t="s">
        <v>184</v>
      </c>
      <c r="G5" t="s">
        <v>280</v>
      </c>
      <c r="H5" t="s">
        <v>293</v>
      </c>
      <c r="I5" t="s">
        <v>294</v>
      </c>
      <c r="J5" t="s">
        <v>295</v>
      </c>
      <c r="K5" t="s">
        <v>300</v>
      </c>
      <c r="L5" t="s">
        <v>47</v>
      </c>
      <c r="M5" t="b">
        <v>1</v>
      </c>
      <c r="N5" t="s">
        <v>279</v>
      </c>
      <c r="O5" t="b">
        <v>1</v>
      </c>
      <c r="P5" t="s">
        <v>301</v>
      </c>
      <c r="Q5">
        <v>1</v>
      </c>
      <c r="R5">
        <v>1000</v>
      </c>
      <c r="S5" t="s">
        <v>123</v>
      </c>
      <c r="T5" t="s">
        <v>302</v>
      </c>
    </row>
    <row r="6" spans="1:20" x14ac:dyDescent="0.35">
      <c r="A6">
        <v>45</v>
      </c>
      <c r="B6" t="s">
        <v>303</v>
      </c>
      <c r="C6" t="s">
        <v>304</v>
      </c>
      <c r="D6" t="s">
        <v>279</v>
      </c>
      <c r="E6" t="s">
        <v>14</v>
      </c>
      <c r="F6" t="s">
        <v>184</v>
      </c>
      <c r="G6" t="s">
        <v>280</v>
      </c>
      <c r="H6" t="s">
        <v>293</v>
      </c>
      <c r="I6" t="s">
        <v>294</v>
      </c>
      <c r="J6" t="s">
        <v>295</v>
      </c>
      <c r="K6" t="s">
        <v>305</v>
      </c>
      <c r="L6" t="s">
        <v>306</v>
      </c>
      <c r="M6" t="b">
        <v>1</v>
      </c>
      <c r="N6" t="s">
        <v>279</v>
      </c>
      <c r="O6" t="b">
        <v>1</v>
      </c>
      <c r="P6" t="s">
        <v>301</v>
      </c>
      <c r="Q6">
        <v>1</v>
      </c>
      <c r="R6">
        <v>500</v>
      </c>
      <c r="S6" t="s">
        <v>123</v>
      </c>
      <c r="T6" t="s">
        <v>302</v>
      </c>
    </row>
    <row r="7" spans="1:20" x14ac:dyDescent="0.35">
      <c r="A7">
        <v>46</v>
      </c>
      <c r="B7" t="s">
        <v>307</v>
      </c>
      <c r="C7" t="s">
        <v>308</v>
      </c>
      <c r="D7" t="s">
        <v>279</v>
      </c>
      <c r="E7" t="s">
        <v>14</v>
      </c>
      <c r="F7" t="s">
        <v>309</v>
      </c>
      <c r="G7" t="s">
        <v>280</v>
      </c>
      <c r="H7" t="s">
        <v>293</v>
      </c>
      <c r="I7" t="s">
        <v>294</v>
      </c>
      <c r="J7" t="s">
        <v>301</v>
      </c>
      <c r="K7" t="s">
        <v>310</v>
      </c>
      <c r="L7" t="s">
        <v>47</v>
      </c>
      <c r="M7" t="b">
        <v>1</v>
      </c>
      <c r="N7" t="s">
        <v>279</v>
      </c>
      <c r="O7" t="b">
        <v>1</v>
      </c>
      <c r="P7" t="s">
        <v>290</v>
      </c>
      <c r="Q7">
        <v>1</v>
      </c>
      <c r="R7">
        <v>150</v>
      </c>
      <c r="S7" t="s">
        <v>123</v>
      </c>
      <c r="T7" t="s">
        <v>302</v>
      </c>
    </row>
    <row r="8" spans="1:20" x14ac:dyDescent="0.35">
      <c r="A8">
        <v>47</v>
      </c>
      <c r="B8" t="s">
        <v>311</v>
      </c>
      <c r="C8" t="s">
        <v>312</v>
      </c>
      <c r="D8" t="s">
        <v>279</v>
      </c>
      <c r="E8" t="s">
        <v>14</v>
      </c>
      <c r="F8" t="s">
        <v>184</v>
      </c>
      <c r="G8" t="s">
        <v>280</v>
      </c>
      <c r="H8" t="s">
        <v>281</v>
      </c>
      <c r="I8" t="s">
        <v>281</v>
      </c>
      <c r="J8" t="s">
        <v>282</v>
      </c>
      <c r="K8" t="s">
        <v>281</v>
      </c>
      <c r="L8" t="s">
        <v>281</v>
      </c>
      <c r="M8" t="b">
        <v>1</v>
      </c>
      <c r="N8" t="s">
        <v>281</v>
      </c>
      <c r="O8" t="b">
        <v>1</v>
      </c>
      <c r="P8" t="s">
        <v>301</v>
      </c>
      <c r="Q8">
        <v>1</v>
      </c>
      <c r="R8">
        <v>0</v>
      </c>
      <c r="S8" t="s">
        <v>123</v>
      </c>
      <c r="T8" t="s">
        <v>281</v>
      </c>
    </row>
    <row r="9" spans="1:20" x14ac:dyDescent="0.35">
      <c r="A9">
        <v>48</v>
      </c>
      <c r="B9" t="s">
        <v>313</v>
      </c>
      <c r="C9" t="s">
        <v>314</v>
      </c>
      <c r="D9" t="s">
        <v>279</v>
      </c>
      <c r="E9" t="s">
        <v>14</v>
      </c>
      <c r="F9" t="s">
        <v>184</v>
      </c>
      <c r="G9" t="s">
        <v>280</v>
      </c>
      <c r="H9" t="s">
        <v>286</v>
      </c>
      <c r="I9" t="s">
        <v>287</v>
      </c>
      <c r="J9" t="s">
        <v>282</v>
      </c>
      <c r="K9" t="s">
        <v>281</v>
      </c>
      <c r="L9" t="s">
        <v>281</v>
      </c>
      <c r="M9" t="b">
        <v>1</v>
      </c>
      <c r="N9" t="s">
        <v>279</v>
      </c>
      <c r="O9" t="b">
        <v>1</v>
      </c>
      <c r="P9" t="s">
        <v>315</v>
      </c>
      <c r="Q9">
        <v>1</v>
      </c>
      <c r="R9">
        <v>0</v>
      </c>
      <c r="S9" t="s">
        <v>123</v>
      </c>
      <c r="T9" t="s">
        <v>291</v>
      </c>
    </row>
    <row r="10" spans="1:20" x14ac:dyDescent="0.35">
      <c r="A10">
        <v>49</v>
      </c>
      <c r="B10" t="s">
        <v>316</v>
      </c>
      <c r="C10" t="s">
        <v>317</v>
      </c>
      <c r="D10" t="s">
        <v>279</v>
      </c>
      <c r="E10" t="s">
        <v>14</v>
      </c>
      <c r="F10" t="s">
        <v>184</v>
      </c>
      <c r="G10" t="s">
        <v>280</v>
      </c>
      <c r="H10" t="s">
        <v>293</v>
      </c>
      <c r="I10" t="s">
        <v>294</v>
      </c>
      <c r="J10" t="s">
        <v>318</v>
      </c>
      <c r="K10" t="s">
        <v>319</v>
      </c>
      <c r="L10" t="s">
        <v>47</v>
      </c>
      <c r="M10" t="b">
        <v>1</v>
      </c>
      <c r="N10" t="s">
        <v>279</v>
      </c>
      <c r="O10" t="b">
        <v>1</v>
      </c>
      <c r="P10" t="s">
        <v>315</v>
      </c>
      <c r="Q10">
        <v>1</v>
      </c>
      <c r="R10">
        <v>1000</v>
      </c>
      <c r="S10" t="s">
        <v>123</v>
      </c>
      <c r="T10" t="s">
        <v>297</v>
      </c>
    </row>
    <row r="11" spans="1:20" x14ac:dyDescent="0.35">
      <c r="A11">
        <v>50</v>
      </c>
      <c r="B11" t="s">
        <v>320</v>
      </c>
      <c r="C11" t="s">
        <v>19</v>
      </c>
      <c r="D11" t="s">
        <v>279</v>
      </c>
      <c r="E11" t="s">
        <v>321</v>
      </c>
      <c r="F11" t="s">
        <v>103</v>
      </c>
      <c r="G11" t="s">
        <v>280</v>
      </c>
      <c r="H11" t="s">
        <v>293</v>
      </c>
      <c r="I11" t="s">
        <v>294</v>
      </c>
      <c r="J11" t="s">
        <v>295</v>
      </c>
      <c r="K11" t="s">
        <v>322</v>
      </c>
      <c r="L11" t="s">
        <v>47</v>
      </c>
      <c r="M11" t="b">
        <v>1</v>
      </c>
      <c r="N11" t="s">
        <v>279</v>
      </c>
      <c r="O11" t="b">
        <v>1</v>
      </c>
      <c r="P11" t="s">
        <v>290</v>
      </c>
      <c r="Q11">
        <v>1</v>
      </c>
      <c r="R11">
        <v>150</v>
      </c>
      <c r="S11" t="s">
        <v>123</v>
      </c>
      <c r="T11" t="s">
        <v>302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7030A0"/>
  </sheetPr>
  <dimension ref="A1:T6"/>
  <sheetViews>
    <sheetView workbookViewId="0">
      <selection activeCell="A10" sqref="A9:A10"/>
    </sheetView>
  </sheetViews>
  <sheetFormatPr defaultRowHeight="14.5" x14ac:dyDescent="0.35"/>
  <cols>
    <col min="1" max="1" width="19" customWidth="1"/>
    <col min="2" max="2" width="11.36328125" bestFit="1" customWidth="1"/>
    <col min="3" max="3" width="13.7265625" bestFit="1" customWidth="1"/>
    <col min="4" max="4" width="9.7265625" bestFit="1" customWidth="1"/>
    <col min="5" max="5" width="12.26953125" bestFit="1" customWidth="1"/>
    <col min="6" max="6" width="19.26953125" bestFit="1" customWidth="1"/>
    <col min="7" max="7" width="10.453125" bestFit="1" customWidth="1"/>
    <col min="8" max="8" width="14.7265625" bestFit="1" customWidth="1"/>
    <col min="9" max="9" width="22.453125" bestFit="1" customWidth="1"/>
    <col min="10" max="10" width="25.6328125" bestFit="1" customWidth="1"/>
    <col min="11" max="11" width="11" bestFit="1" customWidth="1"/>
    <col min="12" max="12" width="11.81640625" bestFit="1" customWidth="1"/>
    <col min="13" max="13" width="10.81640625" bestFit="1" customWidth="1"/>
    <col min="14" max="14" width="11.6328125" bestFit="1" customWidth="1"/>
    <col min="15" max="15" width="8.81640625" bestFit="1" customWidth="1"/>
    <col min="16" max="16" width="19" bestFit="1" customWidth="1"/>
    <col min="17" max="17" width="11.08984375" bestFit="1" customWidth="1"/>
    <col min="18" max="18" width="19" bestFit="1" customWidth="1"/>
    <col min="19" max="19" width="11.6328125" bestFit="1" customWidth="1"/>
    <col min="20" max="20" width="14.81640625" bestFit="1" customWidth="1"/>
  </cols>
  <sheetData>
    <row r="1" spans="1:20" x14ac:dyDescent="0.35">
      <c r="A1" t="s">
        <v>265</v>
      </c>
      <c r="B1" t="s">
        <v>353</v>
      </c>
      <c r="C1" t="s">
        <v>354</v>
      </c>
      <c r="D1" t="s">
        <v>355</v>
      </c>
      <c r="E1" t="s">
        <v>356</v>
      </c>
      <c r="F1" t="s">
        <v>266</v>
      </c>
      <c r="G1" t="s">
        <v>357</v>
      </c>
      <c r="H1" t="s">
        <v>358</v>
      </c>
      <c r="I1" t="s">
        <v>164</v>
      </c>
      <c r="J1" t="s">
        <v>359</v>
      </c>
      <c r="K1" t="s">
        <v>134</v>
      </c>
      <c r="L1" t="s">
        <v>360</v>
      </c>
      <c r="M1" t="s">
        <v>361</v>
      </c>
      <c r="N1" t="s">
        <v>362</v>
      </c>
      <c r="O1" t="s">
        <v>363</v>
      </c>
      <c r="P1" t="s">
        <v>364</v>
      </c>
      <c r="Q1" t="s">
        <v>365</v>
      </c>
      <c r="R1" t="s">
        <v>366</v>
      </c>
      <c r="S1" t="s">
        <v>367</v>
      </c>
      <c r="T1" t="s">
        <v>368</v>
      </c>
    </row>
    <row r="2" spans="1:20" x14ac:dyDescent="0.35">
      <c r="A2" t="s">
        <v>293</v>
      </c>
      <c r="B2" t="s">
        <v>369</v>
      </c>
      <c r="C2" t="s">
        <v>370</v>
      </c>
      <c r="D2" t="s">
        <v>371</v>
      </c>
      <c r="E2" t="s">
        <v>372</v>
      </c>
      <c r="F2" t="s">
        <v>294</v>
      </c>
      <c r="G2" t="s">
        <v>373</v>
      </c>
      <c r="H2" t="s">
        <v>374</v>
      </c>
      <c r="I2" t="s">
        <v>375</v>
      </c>
      <c r="J2" t="s">
        <v>376</v>
      </c>
      <c r="K2" t="s">
        <v>377</v>
      </c>
      <c r="L2" t="s">
        <v>378</v>
      </c>
      <c r="M2" t="s">
        <v>379</v>
      </c>
      <c r="N2" t="s">
        <v>380</v>
      </c>
      <c r="O2" t="s">
        <v>381</v>
      </c>
      <c r="P2" t="s">
        <v>279</v>
      </c>
      <c r="Q2" t="s">
        <v>382</v>
      </c>
      <c r="R2" t="s">
        <v>279</v>
      </c>
      <c r="S2" t="s">
        <v>383</v>
      </c>
      <c r="T2" t="s">
        <v>384</v>
      </c>
    </row>
    <row r="3" spans="1:20" x14ac:dyDescent="0.35">
      <c r="A3" t="s">
        <v>286</v>
      </c>
      <c r="B3" t="s">
        <v>281</v>
      </c>
      <c r="C3" t="s">
        <v>281</v>
      </c>
      <c r="D3" t="s">
        <v>281</v>
      </c>
      <c r="E3" t="s">
        <v>281</v>
      </c>
      <c r="F3" t="s">
        <v>287</v>
      </c>
      <c r="G3" t="s">
        <v>281</v>
      </c>
      <c r="H3" t="s">
        <v>281</v>
      </c>
      <c r="I3" t="s">
        <v>281</v>
      </c>
      <c r="J3" t="s">
        <v>281</v>
      </c>
      <c r="K3" t="s">
        <v>281</v>
      </c>
      <c r="L3" t="s">
        <v>281</v>
      </c>
      <c r="M3" t="s">
        <v>281</v>
      </c>
      <c r="N3" t="s">
        <v>281</v>
      </c>
      <c r="O3" t="s">
        <v>281</v>
      </c>
      <c r="P3" t="s">
        <v>279</v>
      </c>
      <c r="Q3" t="s">
        <v>381</v>
      </c>
      <c r="R3" t="s">
        <v>279</v>
      </c>
      <c r="S3" t="s">
        <v>281</v>
      </c>
      <c r="T3" t="s">
        <v>384</v>
      </c>
    </row>
    <row r="4" spans="1:20" x14ac:dyDescent="0.35">
      <c r="A4" t="s">
        <v>385</v>
      </c>
      <c r="B4" t="s">
        <v>281</v>
      </c>
      <c r="C4" t="s">
        <v>281</v>
      </c>
      <c r="D4" t="s">
        <v>281</v>
      </c>
      <c r="E4" t="s">
        <v>281</v>
      </c>
      <c r="F4" t="s">
        <v>386</v>
      </c>
      <c r="G4" t="s">
        <v>281</v>
      </c>
      <c r="H4" t="s">
        <v>281</v>
      </c>
      <c r="I4" t="s">
        <v>281</v>
      </c>
      <c r="J4" t="s">
        <v>281</v>
      </c>
      <c r="K4" t="s">
        <v>281</v>
      </c>
      <c r="L4" t="s">
        <v>281</v>
      </c>
      <c r="M4" t="s">
        <v>281</v>
      </c>
      <c r="N4" t="s">
        <v>281</v>
      </c>
      <c r="O4" t="s">
        <v>281</v>
      </c>
      <c r="P4" t="s">
        <v>279</v>
      </c>
      <c r="Q4" t="s">
        <v>381</v>
      </c>
      <c r="R4" t="s">
        <v>279</v>
      </c>
      <c r="S4" t="s">
        <v>281</v>
      </c>
      <c r="T4" t="s">
        <v>387</v>
      </c>
    </row>
    <row r="5" spans="1:20" x14ac:dyDescent="0.35">
      <c r="A5" t="s">
        <v>388</v>
      </c>
      <c r="B5" t="s">
        <v>389</v>
      </c>
      <c r="C5" t="s">
        <v>390</v>
      </c>
      <c r="D5" t="s">
        <v>391</v>
      </c>
      <c r="E5" t="s">
        <v>392</v>
      </c>
      <c r="F5" t="s">
        <v>393</v>
      </c>
      <c r="G5" t="s">
        <v>394</v>
      </c>
      <c r="H5" t="s">
        <v>281</v>
      </c>
      <c r="I5" t="s">
        <v>281</v>
      </c>
      <c r="J5" t="s">
        <v>395</v>
      </c>
      <c r="K5" t="s">
        <v>396</v>
      </c>
      <c r="L5" t="s">
        <v>397</v>
      </c>
      <c r="M5" t="s">
        <v>398</v>
      </c>
      <c r="N5" t="s">
        <v>399</v>
      </c>
      <c r="O5" t="s">
        <v>281</v>
      </c>
      <c r="P5" t="s">
        <v>279</v>
      </c>
      <c r="Q5" t="s">
        <v>400</v>
      </c>
      <c r="R5" t="s">
        <v>279</v>
      </c>
      <c r="S5" t="s">
        <v>401</v>
      </c>
      <c r="T5" t="s">
        <v>402</v>
      </c>
    </row>
    <row r="6" spans="1:20" x14ac:dyDescent="0.35">
      <c r="A6" t="s">
        <v>403</v>
      </c>
      <c r="B6" t="s">
        <v>404</v>
      </c>
      <c r="C6" t="s">
        <v>390</v>
      </c>
      <c r="D6" t="s">
        <v>405</v>
      </c>
      <c r="E6" t="s">
        <v>392</v>
      </c>
      <c r="F6" t="s">
        <v>406</v>
      </c>
      <c r="G6" t="s">
        <v>394</v>
      </c>
      <c r="H6" t="s">
        <v>407</v>
      </c>
      <c r="I6" t="s">
        <v>408</v>
      </c>
      <c r="J6" t="s">
        <v>409</v>
      </c>
      <c r="K6" t="s">
        <v>377</v>
      </c>
      <c r="L6" t="s">
        <v>410</v>
      </c>
      <c r="M6" t="s">
        <v>379</v>
      </c>
      <c r="N6" t="s">
        <v>411</v>
      </c>
      <c r="O6" t="s">
        <v>381</v>
      </c>
      <c r="P6" t="s">
        <v>279</v>
      </c>
      <c r="Q6" t="s">
        <v>412</v>
      </c>
      <c r="R6" t="s">
        <v>279</v>
      </c>
      <c r="S6" t="s">
        <v>401</v>
      </c>
      <c r="T6" t="s">
        <v>387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:H11"/>
  <sheetViews>
    <sheetView workbookViewId="0">
      <selection activeCell="A15" sqref="A14:A15"/>
    </sheetView>
  </sheetViews>
  <sheetFormatPr defaultRowHeight="14.5" x14ac:dyDescent="0.35"/>
  <cols>
    <col min="1" max="1" width="12" customWidth="1"/>
    <col min="2" max="2" width="7.54296875" customWidth="1"/>
    <col min="3" max="3" width="8.453125" bestFit="1" customWidth="1"/>
    <col min="4" max="4" width="8.08984375" bestFit="1" customWidth="1"/>
    <col min="5" max="5" width="19" bestFit="1" customWidth="1"/>
    <col min="6" max="6" width="6.90625" bestFit="1" customWidth="1"/>
    <col min="7" max="7" width="10.453125" bestFit="1" customWidth="1"/>
    <col min="8" max="8" width="12.36328125" bestFit="1" customWidth="1"/>
  </cols>
  <sheetData>
    <row r="1" spans="1:8" x14ac:dyDescent="0.35">
      <c r="A1" t="s">
        <v>413</v>
      </c>
      <c r="B1" t="s">
        <v>261</v>
      </c>
      <c r="C1" t="s">
        <v>323</v>
      </c>
      <c r="D1" t="s">
        <v>35</v>
      </c>
      <c r="E1" t="s">
        <v>324</v>
      </c>
      <c r="F1" t="s">
        <v>325</v>
      </c>
      <c r="G1" t="s">
        <v>326</v>
      </c>
      <c r="H1" t="s">
        <v>275</v>
      </c>
    </row>
    <row r="2" spans="1:8" x14ac:dyDescent="0.35">
      <c r="A2">
        <v>32</v>
      </c>
      <c r="B2">
        <v>41</v>
      </c>
      <c r="C2" t="s">
        <v>350</v>
      </c>
      <c r="D2" t="s">
        <v>184</v>
      </c>
      <c r="E2" t="s">
        <v>279</v>
      </c>
      <c r="F2">
        <v>0</v>
      </c>
      <c r="G2" t="s">
        <v>280</v>
      </c>
      <c r="H2" t="s">
        <v>184</v>
      </c>
    </row>
    <row r="3" spans="1:8" x14ac:dyDescent="0.35">
      <c r="A3">
        <v>33</v>
      </c>
      <c r="B3">
        <v>42</v>
      </c>
      <c r="C3" t="s">
        <v>350</v>
      </c>
      <c r="D3" t="s">
        <v>198</v>
      </c>
      <c r="E3" t="s">
        <v>279</v>
      </c>
      <c r="F3">
        <v>0</v>
      </c>
      <c r="G3" t="s">
        <v>280</v>
      </c>
      <c r="H3" t="s">
        <v>184</v>
      </c>
    </row>
    <row r="4" spans="1:8" x14ac:dyDescent="0.35">
      <c r="A4">
        <v>34</v>
      </c>
      <c r="B4">
        <v>43</v>
      </c>
      <c r="C4" t="s">
        <v>350</v>
      </c>
      <c r="D4" t="s">
        <v>184</v>
      </c>
      <c r="E4" t="s">
        <v>279</v>
      </c>
      <c r="F4">
        <v>0</v>
      </c>
      <c r="G4" t="s">
        <v>280</v>
      </c>
      <c r="H4" t="s">
        <v>184</v>
      </c>
    </row>
    <row r="5" spans="1:8" x14ac:dyDescent="0.35">
      <c r="A5">
        <v>35</v>
      </c>
      <c r="B5">
        <v>44</v>
      </c>
      <c r="C5" t="s">
        <v>350</v>
      </c>
      <c r="D5" t="s">
        <v>184</v>
      </c>
      <c r="E5" t="s">
        <v>279</v>
      </c>
      <c r="F5">
        <v>0</v>
      </c>
      <c r="G5" t="s">
        <v>280</v>
      </c>
      <c r="H5" t="s">
        <v>184</v>
      </c>
    </row>
    <row r="6" spans="1:8" x14ac:dyDescent="0.35">
      <c r="A6">
        <v>36</v>
      </c>
      <c r="B6">
        <v>45</v>
      </c>
      <c r="C6" t="s">
        <v>350</v>
      </c>
      <c r="D6" t="s">
        <v>184</v>
      </c>
      <c r="E6" t="s">
        <v>279</v>
      </c>
      <c r="F6">
        <v>0</v>
      </c>
      <c r="G6" t="s">
        <v>280</v>
      </c>
      <c r="H6" t="s">
        <v>184</v>
      </c>
    </row>
    <row r="7" spans="1:8" x14ac:dyDescent="0.35">
      <c r="A7">
        <v>37</v>
      </c>
      <c r="B7">
        <v>46</v>
      </c>
      <c r="C7" t="s">
        <v>350</v>
      </c>
      <c r="D7" t="s">
        <v>309</v>
      </c>
      <c r="E7" t="s">
        <v>279</v>
      </c>
      <c r="F7">
        <v>0</v>
      </c>
      <c r="G7" t="s">
        <v>280</v>
      </c>
      <c r="H7" t="s">
        <v>107</v>
      </c>
    </row>
    <row r="8" spans="1:8" x14ac:dyDescent="0.35">
      <c r="A8">
        <v>38</v>
      </c>
      <c r="B8">
        <v>47</v>
      </c>
      <c r="C8" t="s">
        <v>350</v>
      </c>
      <c r="D8" t="s">
        <v>184</v>
      </c>
      <c r="E8" t="s">
        <v>279</v>
      </c>
      <c r="F8">
        <v>0</v>
      </c>
      <c r="G8" t="s">
        <v>280</v>
      </c>
      <c r="H8" t="s">
        <v>184</v>
      </c>
    </row>
    <row r="9" spans="1:8" x14ac:dyDescent="0.35">
      <c r="A9">
        <v>39</v>
      </c>
      <c r="B9">
        <v>48</v>
      </c>
      <c r="C9" t="s">
        <v>350</v>
      </c>
      <c r="D9" t="s">
        <v>184</v>
      </c>
      <c r="E9" t="s">
        <v>279</v>
      </c>
      <c r="F9">
        <v>0</v>
      </c>
      <c r="G9" t="s">
        <v>280</v>
      </c>
      <c r="H9" t="s">
        <v>184</v>
      </c>
    </row>
    <row r="10" spans="1:8" x14ac:dyDescent="0.35">
      <c r="A10">
        <v>40</v>
      </c>
      <c r="B10">
        <v>49</v>
      </c>
      <c r="C10" t="s">
        <v>350</v>
      </c>
      <c r="D10" t="s">
        <v>184</v>
      </c>
      <c r="E10" t="s">
        <v>279</v>
      </c>
      <c r="F10">
        <v>0</v>
      </c>
      <c r="G10" t="s">
        <v>280</v>
      </c>
      <c r="H10" t="s">
        <v>184</v>
      </c>
    </row>
    <row r="11" spans="1:8" x14ac:dyDescent="0.35">
      <c r="A11">
        <v>41</v>
      </c>
      <c r="B11">
        <v>50</v>
      </c>
      <c r="C11" t="s">
        <v>350</v>
      </c>
      <c r="D11" t="s">
        <v>103</v>
      </c>
      <c r="E11" t="s">
        <v>279</v>
      </c>
      <c r="F11">
        <v>0</v>
      </c>
      <c r="G11" t="s">
        <v>280</v>
      </c>
      <c r="H11" t="s">
        <v>103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2:K70"/>
  <sheetViews>
    <sheetView workbookViewId="0">
      <selection activeCell="C69" sqref="C69"/>
    </sheetView>
  </sheetViews>
  <sheetFormatPr defaultRowHeight="14.5" x14ac:dyDescent="0.35"/>
  <cols>
    <col min="1" max="16384" width="8.7265625" style="5"/>
  </cols>
  <sheetData>
    <row r="2" spans="10:10" x14ac:dyDescent="0.35">
      <c r="J2" t="s">
        <v>416</v>
      </c>
    </row>
    <row r="3" spans="10:10" x14ac:dyDescent="0.35">
      <c r="J3" s="62">
        <v>12</v>
      </c>
    </row>
    <row r="18" spans="10:11" x14ac:dyDescent="0.35">
      <c r="J18" s="59" t="s">
        <v>263</v>
      </c>
      <c r="K18" t="s">
        <v>415</v>
      </c>
    </row>
    <row r="19" spans="10:11" x14ac:dyDescent="0.35">
      <c r="J19" t="s">
        <v>321</v>
      </c>
      <c r="K19" s="62">
        <v>1</v>
      </c>
    </row>
    <row r="20" spans="10:11" x14ac:dyDescent="0.35">
      <c r="J20" t="s">
        <v>14</v>
      </c>
      <c r="K20" s="62">
        <v>9</v>
      </c>
    </row>
    <row r="35" spans="10:11" x14ac:dyDescent="0.35">
      <c r="J35" s="59" t="s">
        <v>276</v>
      </c>
      <c r="K35" t="s">
        <v>414</v>
      </c>
    </row>
    <row r="36" spans="10:11" x14ac:dyDescent="0.35">
      <c r="J36" t="s">
        <v>291</v>
      </c>
      <c r="K36" s="62">
        <v>2</v>
      </c>
    </row>
    <row r="37" spans="10:11" x14ac:dyDescent="0.35">
      <c r="J37" t="s">
        <v>284</v>
      </c>
      <c r="K37" s="62">
        <v>1</v>
      </c>
    </row>
    <row r="38" spans="10:11" x14ac:dyDescent="0.35">
      <c r="J38" t="s">
        <v>302</v>
      </c>
      <c r="K38" s="62">
        <v>4</v>
      </c>
    </row>
    <row r="39" spans="10:11" x14ac:dyDescent="0.35">
      <c r="J39" t="s">
        <v>297</v>
      </c>
      <c r="K39" s="62">
        <v>2</v>
      </c>
    </row>
    <row r="40" spans="10:11" x14ac:dyDescent="0.35">
      <c r="J40" t="s">
        <v>281</v>
      </c>
      <c r="K40" s="62">
        <v>1</v>
      </c>
    </row>
    <row r="52" spans="1:11" x14ac:dyDescent="0.35">
      <c r="A52" s="59" t="s">
        <v>266</v>
      </c>
      <c r="B52" t="s">
        <v>414</v>
      </c>
      <c r="K52" t="s">
        <v>417</v>
      </c>
    </row>
    <row r="53" spans="1:11" x14ac:dyDescent="0.35">
      <c r="A53" t="s">
        <v>287</v>
      </c>
      <c r="B53" s="62">
        <v>2</v>
      </c>
      <c r="K53" s="62">
        <v>5</v>
      </c>
    </row>
    <row r="54" spans="1:11" x14ac:dyDescent="0.35">
      <c r="A54" t="s">
        <v>294</v>
      </c>
      <c r="B54" s="62">
        <v>6</v>
      </c>
    </row>
    <row r="55" spans="1:11" x14ac:dyDescent="0.35">
      <c r="A55" t="s">
        <v>281</v>
      </c>
      <c r="B55" s="62">
        <v>2</v>
      </c>
    </row>
    <row r="69" spans="1:1" x14ac:dyDescent="0.35">
      <c r="A69" t="s">
        <v>418</v>
      </c>
    </row>
    <row r="70" spans="1:1" x14ac:dyDescent="0.35">
      <c r="A70" s="62">
        <v>12</v>
      </c>
    </row>
  </sheetData>
  <pageMargins left="0.7" right="0.7" top="0.75" bottom="0.75" header="0.3" footer="0.3"/>
  <drawing r:id="rId7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3:D6"/>
  <sheetViews>
    <sheetView workbookViewId="0">
      <selection activeCell="D9" sqref="D9"/>
    </sheetView>
  </sheetViews>
  <sheetFormatPr defaultRowHeight="14.5" x14ac:dyDescent="0.35"/>
  <cols>
    <col min="1" max="1" width="8.7265625" style="5"/>
    <col min="2" max="2" width="20.54296875" style="5" customWidth="1"/>
    <col min="3" max="3" width="1.36328125" style="5" customWidth="1"/>
    <col min="4" max="4" width="51.54296875" style="5" customWidth="1"/>
    <col min="5" max="16384" width="8.7265625" style="5"/>
  </cols>
  <sheetData>
    <row r="3" spans="2:4" x14ac:dyDescent="0.35">
      <c r="B3" s="28" t="s">
        <v>444</v>
      </c>
      <c r="D3" s="28" t="s">
        <v>445</v>
      </c>
    </row>
    <row r="4" spans="2:4" x14ac:dyDescent="0.35">
      <c r="B4" s="28" t="s">
        <v>446</v>
      </c>
      <c r="D4" s="28" t="s">
        <v>447</v>
      </c>
    </row>
    <row r="5" spans="2:4" x14ac:dyDescent="0.35">
      <c r="B5" s="28" t="s">
        <v>448</v>
      </c>
      <c r="D5" s="28" t="s">
        <v>449</v>
      </c>
    </row>
    <row r="6" spans="2:4" x14ac:dyDescent="0.35">
      <c r="B6" s="28" t="s">
        <v>450</v>
      </c>
      <c r="D6" s="29" t="s">
        <v>451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Start</vt:lpstr>
      <vt:lpstr>GenerateAccessToken</vt:lpstr>
      <vt:lpstr>AccessToken</vt:lpstr>
      <vt:lpstr>RefreshToken</vt:lpstr>
      <vt:lpstr>LogTime</vt:lpstr>
      <vt:lpstr>logTimeDetails</vt:lpstr>
      <vt:lpstr>AddTimeLogs</vt:lpstr>
      <vt:lpstr>AddTimelogDaily</vt:lpstr>
      <vt:lpstr>AddTimelogWeekly</vt:lpstr>
      <vt:lpstr>AddTimelogMonthly</vt:lpstr>
      <vt:lpstr>JobsNames</vt:lpstr>
      <vt:lpstr>Clients</vt:lpstr>
      <vt:lpstr>Jobs</vt:lpstr>
      <vt:lpstr>Projects</vt:lpstr>
      <vt:lpstr>Report Log Time</vt:lpstr>
      <vt:lpstr>AppConfig</vt:lpstr>
      <vt:lpstr>ProjectUsers</vt:lpstr>
      <vt:lpstr>Project</vt:lpstr>
      <vt:lpstr>ProjectManagers</vt:lpstr>
      <vt:lpstr>ProjectHeads</vt:lpstr>
      <vt:lpstr>ProjectDept</vt:lpstr>
      <vt:lpstr>job</vt:lpstr>
      <vt:lpstr>JobDetail</vt:lpstr>
      <vt:lpstr>Client</vt:lpstr>
      <vt:lpstr>Assignees</vt:lpstr>
      <vt:lpstr>Report Log For DB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sughosh kuntal</dc:creator>
  <cp:lastModifiedBy>Nikhil Bari</cp:lastModifiedBy>
  <dcterms:created xsi:type="dcterms:W3CDTF">2024-04-11T13:43:09Z</dcterms:created>
  <dcterms:modified xsi:type="dcterms:W3CDTF">2024-04-30T16:28:12Z</dcterms:modified>
</cp:coreProperties>
</file>